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eez\deepseek_implementation\excel\"/>
    </mc:Choice>
  </mc:AlternateContent>
  <xr:revisionPtr revIDLastSave="0" documentId="8_{C04648F8-3E71-4071-8CB3-1CB743E5CAB2}" xr6:coauthVersionLast="47" xr6:coauthVersionMax="47" xr10:uidLastSave="{00000000-0000-0000-0000-000000000000}"/>
  <bookViews>
    <workbookView xWindow="-108" yWindow="-108" windowWidth="23256" windowHeight="12456" xr2:uid="{7D53A5B4-B2FB-464A-A619-128DF60E8EBB}"/>
  </bookViews>
  <sheets>
    <sheet name="deepseekv3" sheetId="1" r:id="rId1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202" i="1" l="1" a="1"/>
  <c r="P1190" i="1"/>
  <c r="P1189" i="1"/>
  <c r="N1167" i="1" a="1"/>
  <c r="E1156" i="1" a="1"/>
  <c r="E1145" i="1" a="1"/>
  <c r="E1138" i="1" a="1"/>
  <c r="E1131" i="1" a="1"/>
  <c r="E1120" i="1" a="1"/>
  <c r="E1110" i="1" a="1"/>
  <c r="E1105" i="1" a="1"/>
  <c r="E1100" i="1" a="1"/>
  <c r="E1095" i="1" a="1"/>
  <c r="E1084" i="1" a="1"/>
  <c r="E1072" i="1" a="1"/>
  <c r="E1062" i="1" a="1"/>
  <c r="E1053" i="1" a="1"/>
  <c r="O1034" i="1" a="1"/>
  <c r="O1043" i="1" s="1" a="1"/>
  <c r="E1025" i="1" a="1"/>
  <c r="O1202" i="1" s="1" a="1"/>
  <c r="O1019" i="1" a="1"/>
  <c r="O1195" i="1" s="1" a="1"/>
  <c r="O1018" i="1" a="1"/>
  <c r="O1013" i="1" a="1"/>
  <c r="F1017" i="1"/>
  <c r="O1016" i="1" s="1" a="1"/>
  <c r="O1017" i="1" s="1" a="1"/>
  <c r="P991" i="1"/>
  <c r="P990" i="1"/>
  <c r="O977" i="1" a="1"/>
  <c r="E952" i="1" a="1"/>
  <c r="E941" i="1" a="1"/>
  <c r="E934" i="1" a="1"/>
  <c r="E927" i="1" a="1"/>
  <c r="E916" i="1" a="1"/>
  <c r="E905" i="1" a="1"/>
  <c r="E900" i="1" a="1"/>
  <c r="E895" i="1" a="1"/>
  <c r="E890" i="1" a="1"/>
  <c r="E879" i="1" a="1"/>
  <c r="O866" i="1" a="1"/>
  <c r="O863" i="1" a="1"/>
  <c r="O865" i="1" s="1" a="1"/>
  <c r="E744" i="1" a="1"/>
  <c r="O734" i="1" a="1"/>
  <c r="O733" i="1" a="1"/>
  <c r="F738" i="1"/>
  <c r="AO744" i="1" s="1" a="1"/>
  <c r="O683" i="1" a="1"/>
  <c r="E662" i="1" a="1"/>
  <c r="O636" i="1" a="1"/>
  <c r="O635" i="1" a="1"/>
  <c r="F620" i="1"/>
  <c r="E596" i="1" a="1"/>
  <c r="O586" i="1" a="1"/>
  <c r="O583" i="1" a="1"/>
  <c r="O585" i="1" s="1" a="1"/>
  <c r="E559" i="1" a="1"/>
  <c r="E555" i="1" a="1"/>
  <c r="E551" i="1" a="1"/>
  <c r="E526" i="1" a="1"/>
  <c r="O516" i="1" a="1"/>
  <c r="O513" i="1" a="1"/>
  <c r="O515" i="1" s="1" a="1"/>
  <c r="W471" i="1" a="1"/>
  <c r="E492" i="1" a="1"/>
  <c r="E478" i="1" a="1"/>
  <c r="E471" i="1" a="1"/>
  <c r="O461" i="1" a="1"/>
  <c r="O458" i="1" a="1"/>
  <c r="O460" i="1" s="1" a="1"/>
  <c r="O438" i="1"/>
  <c r="O437" i="1"/>
  <c r="O436" i="1"/>
  <c r="O440" i="1" s="1"/>
  <c r="E385" i="1" a="1"/>
  <c r="W403" i="1" s="1" a="1"/>
  <c r="E381" i="1" a="1"/>
  <c r="W381" i="1" s="1" a="1"/>
  <c r="W370" i="1" a="1"/>
  <c r="W368" i="1" a="1"/>
  <c r="W361" i="1" a="1"/>
  <c r="E369" i="1" a="1"/>
  <c r="E361" i="1" a="1"/>
  <c r="E356" i="1" a="1"/>
  <c r="O346" i="1" a="1"/>
  <c r="O343" i="1" a="1"/>
  <c r="O345" i="1" s="1" a="1"/>
  <c r="W279" i="1" a="1"/>
  <c r="W275" i="1" a="1"/>
  <c r="W271" i="1" a="1"/>
  <c r="W266" i="1" a="1"/>
  <c r="W286" i="1" a="1"/>
  <c r="E282" i="1" a="1"/>
  <c r="E279" i="1" a="1"/>
  <c r="E275" i="1" a="1"/>
  <c r="E271" i="1" a="1"/>
  <c r="E266" i="1" a="1"/>
  <c r="O256" i="1" a="1"/>
  <c r="O253" i="1" a="1"/>
  <c r="O255" i="1" s="1" a="1"/>
  <c r="W224" i="1" a="1"/>
  <c r="E217" i="1" a="1"/>
  <c r="E211" i="1" a="1"/>
  <c r="O201" i="1" a="1"/>
  <c r="O198" i="1" a="1"/>
  <c r="F187" i="1"/>
  <c r="F186" i="1"/>
  <c r="AM175" i="1" a="1"/>
  <c r="W175" i="1" a="1"/>
  <c r="AM168" i="1" a="1"/>
  <c r="W168" i="1" a="1"/>
  <c r="W161" i="1" a="1"/>
  <c r="U168" i="1" a="1"/>
  <c r="E168" i="1" a="1"/>
  <c r="U161" i="1" a="1"/>
  <c r="E161" i="1" a="1"/>
  <c r="O151" i="1" a="1"/>
  <c r="O148" i="1" a="1"/>
  <c r="O150" i="1" s="1" a="1"/>
  <c r="E130" i="1" a="1"/>
  <c r="E124" i="1" a="1"/>
  <c r="O114" i="1" a="1"/>
  <c r="O111" i="1" a="1"/>
  <c r="F100" i="1"/>
  <c r="F102" i="1" s="1"/>
  <c r="O95" i="1" a="1"/>
  <c r="AP76" i="1" a="1"/>
  <c r="E89" i="1" a="1"/>
  <c r="E83" i="1" a="1"/>
  <c r="E77" i="1" a="1"/>
  <c r="O66" i="1" a="1"/>
  <c r="O63" i="1" a="1"/>
  <c r="E50" i="1" a="1"/>
  <c r="E44" i="1" a="1"/>
  <c r="E38" i="1" a="1"/>
  <c r="O27" i="1" a="1"/>
  <c r="O24" i="1" a="1"/>
  <c r="D18" i="1" a="1"/>
  <c r="B5" i="1" a="1"/>
  <c r="C18" i="1" s="1"/>
  <c r="P992" i="1" l="1"/>
  <c r="P993" i="1"/>
  <c r="P994" i="1"/>
  <c r="P995" i="1"/>
  <c r="P996" i="1" s="1"/>
  <c r="O224" i="1" a="1"/>
  <c r="O200" i="1" a="1"/>
  <c r="W113" i="1" a="1"/>
  <c r="O113" i="1" a="1"/>
  <c r="O97" i="1" a="1"/>
  <c r="O96" i="1" a="1"/>
  <c r="O98" i="1" s="1" a="1"/>
  <c r="BD74" i="1" a="1"/>
  <c r="AW74" i="1" a="1"/>
  <c r="AO76" i="1" a="1"/>
  <c r="AP74" i="1" a="1"/>
  <c r="AH76" i="1" a="1"/>
  <c r="AI74" i="1" a="1"/>
  <c r="AA76" i="1" a="1"/>
  <c r="O76" i="1" a="1"/>
  <c r="V76" i="1" a="1"/>
  <c r="AB74" i="1" a="1"/>
  <c r="O88" i="1" a="1"/>
  <c r="BK75" i="1" a="1"/>
  <c r="BC76" i="1" a="1"/>
  <c r="AV76" i="1" a="1"/>
  <c r="O82" i="1" a="1"/>
  <c r="O65" i="1" a="1"/>
  <c r="O37" i="1" a="1"/>
  <c r="O49" i="1" a="1"/>
  <c r="AW44" i="1" a="1"/>
  <c r="AO37" i="1" a="1"/>
  <c r="AP35" i="1" a="1"/>
  <c r="AH37" i="1" a="1"/>
  <c r="AI35" i="1" a="1"/>
  <c r="AA37" i="1" a="1"/>
  <c r="AB35" i="1" a="1"/>
  <c r="V37" i="1" a="1"/>
  <c r="O43" i="1" a="1"/>
  <c r="O26" i="1" a="1"/>
  <c r="O1053" i="1" a="1"/>
  <c r="AB1055" i="1" s="1" a="1"/>
  <c r="Q1025" i="1" a="1"/>
  <c r="R1025" i="1" a="1"/>
  <c r="O1025" i="1" a="1"/>
  <c r="P1025" i="1" a="1"/>
  <c r="D17" i="1" a="1"/>
  <c r="C17" i="1"/>
  <c r="O876" i="1" a="1"/>
  <c r="O879" i="1" s="1" a="1"/>
  <c r="O900" i="1" s="1" a="1"/>
  <c r="D16" i="1" a="1"/>
  <c r="C16" i="1"/>
  <c r="E831" i="1" a="1"/>
  <c r="O831" i="1" s="1" a="1"/>
  <c r="O744" i="1" a="1"/>
  <c r="D15" i="1" a="1"/>
  <c r="C15" i="1"/>
  <c r="O662" i="1" a="1"/>
  <c r="O692" i="1" s="1" a="1"/>
  <c r="D14" i="1" a="1"/>
  <c r="C14" i="1"/>
  <c r="O596" i="1" a="1"/>
  <c r="T615" i="1" s="1"/>
  <c r="D13" i="1" a="1"/>
  <c r="C13" i="1"/>
  <c r="O559" i="1" a="1"/>
  <c r="O526" i="1" a="1"/>
  <c r="T545" i="1" s="1"/>
  <c r="D12" i="1" a="1"/>
  <c r="C12" i="1"/>
  <c r="AG471" i="1" a="1"/>
  <c r="O478" i="1" a="1"/>
  <c r="O471" i="1" a="1"/>
  <c r="D11" i="1" a="1"/>
  <c r="C11" i="1"/>
  <c r="AG368" i="1" a="1"/>
  <c r="AG373" i="1" s="1" a="1"/>
  <c r="E404" i="1" s="1" a="1"/>
  <c r="AG361" i="1" a="1"/>
  <c r="O356" i="1" a="1"/>
  <c r="D10" i="1" a="1"/>
  <c r="C10" i="1"/>
  <c r="AG279" i="1" a="1"/>
  <c r="AG266" i="1" a="1"/>
  <c r="O266" i="1" a="1"/>
  <c r="D9" i="1" a="1"/>
  <c r="C9" i="1"/>
  <c r="O211" i="1" a="1"/>
  <c r="D8" i="1" a="1"/>
  <c r="C8" i="1"/>
  <c r="AG161" i="1" a="1"/>
  <c r="O168" i="1" a="1"/>
  <c r="O161" i="1" a="1"/>
  <c r="D7" i="1" a="1"/>
  <c r="C7" i="1"/>
  <c r="O124" i="1" a="1"/>
  <c r="O130" i="1" s="1" a="1"/>
  <c r="W114" i="1" s="1" a="1"/>
  <c r="D5" i="1" a="1"/>
  <c r="D6" i="1" a="1"/>
  <c r="C6" i="1"/>
  <c r="O89" i="1" a="1"/>
  <c r="O83" i="1" a="1"/>
  <c r="W76" i="1" s="1" a="1"/>
  <c r="O77" i="1" a="1"/>
  <c r="C5" i="1"/>
  <c r="O50" i="1" a="1"/>
  <c r="O44" i="1" a="1"/>
  <c r="W37" i="1" s="1" a="1"/>
  <c r="O38" i="1" a="1"/>
  <c r="O1062" i="1" l="1" a="1"/>
  <c r="AB1063" i="1" s="1" a="1"/>
  <c r="AG1073" i="1" s="1" a="1"/>
  <c r="O890" i="1" a="1"/>
  <c r="O895" i="1" a="1"/>
  <c r="W890" i="1" s="1" a="1"/>
  <c r="AB890" i="1" s="1" a="1"/>
  <c r="O762" i="1" a="1"/>
  <c r="AK714" i="1"/>
  <c r="AL714" i="1"/>
  <c r="AI714" i="1"/>
  <c r="AJ714" i="1"/>
  <c r="AG714" i="1"/>
  <c r="AH714" i="1"/>
  <c r="AE714" i="1"/>
  <c r="AF714" i="1"/>
  <c r="AC714" i="1"/>
  <c r="AD714" i="1"/>
  <c r="AA714" i="1"/>
  <c r="AB714" i="1"/>
  <c r="Y714" i="1"/>
  <c r="Z714" i="1"/>
  <c r="W714" i="1"/>
  <c r="X714" i="1"/>
  <c r="U714" i="1"/>
  <c r="V714" i="1"/>
  <c r="S714" i="1"/>
  <c r="T714" i="1"/>
  <c r="Q714" i="1"/>
  <c r="R714" i="1"/>
  <c r="O714" i="1"/>
  <c r="P714" i="1"/>
  <c r="R615" i="1"/>
  <c r="S615" i="1"/>
  <c r="P615" i="1"/>
  <c r="Q615" i="1"/>
  <c r="T614" i="1"/>
  <c r="O615" i="1"/>
  <c r="R614" i="1"/>
  <c r="S614" i="1"/>
  <c r="P614" i="1"/>
  <c r="Q614" i="1"/>
  <c r="O605" i="1" a="1"/>
  <c r="O614" i="1"/>
  <c r="R545" i="1"/>
  <c r="S545" i="1"/>
  <c r="P545" i="1"/>
  <c r="Q545" i="1"/>
  <c r="T544" i="1"/>
  <c r="O545" i="1"/>
  <c r="R544" i="1"/>
  <c r="S544" i="1"/>
  <c r="P544" i="1"/>
  <c r="Q544" i="1"/>
  <c r="O535" i="1" a="1"/>
  <c r="O544" i="1"/>
  <c r="AA480" i="1" a="1"/>
  <c r="AA489" i="1" s="1"/>
  <c r="AB480" i="1" a="1"/>
  <c r="AB489" i="1" s="1"/>
  <c r="Y480" i="1" a="1"/>
  <c r="Y489" i="1" s="1"/>
  <c r="Z480" i="1" a="1"/>
  <c r="Z489" i="1" s="1"/>
  <c r="W480" i="1" a="1"/>
  <c r="W489" i="1" s="1"/>
  <c r="X480" i="1" a="1"/>
  <c r="X489" i="1" s="1"/>
  <c r="O485" i="1" a="1"/>
  <c r="O492" i="1" s="1" a="1"/>
  <c r="W392" i="1" a="1"/>
  <c r="O381" i="1" a="1"/>
  <c r="E390" i="1" s="1" a="1"/>
  <c r="O385" i="1" a="1"/>
  <c r="O361" i="1" a="1"/>
  <c r="E397" i="1" s="1" a="1"/>
  <c r="W385" i="1" s="1" a="1"/>
  <c r="W399" i="1" s="1" a="1"/>
  <c r="O369" i="1" a="1"/>
  <c r="O376" i="1" s="1" a="1"/>
  <c r="AG286" i="1" a="1"/>
  <c r="E306" i="1" a="1"/>
  <c r="AG271" i="1" a="1"/>
  <c r="E292" i="1" s="1" a="1"/>
  <c r="AG275" i="1" a="1"/>
  <c r="O279" i="1" a="1"/>
  <c r="O282" i="1" a="1"/>
  <c r="O288" i="1" s="1" a="1"/>
  <c r="O271" i="1" a="1"/>
  <c r="O275" i="1" a="1"/>
  <c r="O217" i="1" a="1"/>
  <c r="O234" i="1" a="1"/>
  <c r="O238" i="1" s="1" a="1"/>
  <c r="AE196" i="1" s="1"/>
  <c r="AG168" i="1" a="1"/>
  <c r="AG175" i="1" a="1"/>
  <c r="AB76" i="1" a="1"/>
  <c r="AI76" i="1" s="1" a="1"/>
  <c r="BI76" i="1" s="1" a="1"/>
  <c r="AB37" i="1" a="1"/>
  <c r="AI37" i="1" s="1" a="1"/>
  <c r="O1084" i="1" l="1" a="1"/>
  <c r="O1086" i="1" s="1" a="1"/>
  <c r="O1105" i="1" s="1" a="1"/>
  <c r="AM890" i="1" a="1"/>
  <c r="AN890" i="1" a="1"/>
  <c r="AK890" i="1" a="1"/>
  <c r="AL890" i="1" a="1"/>
  <c r="AI890" i="1" a="1"/>
  <c r="AJ890" i="1" a="1"/>
  <c r="AK771" i="1"/>
  <c r="AL771" i="1"/>
  <c r="AI771" i="1"/>
  <c r="AJ771" i="1"/>
  <c r="AH771" i="1"/>
  <c r="AG771" i="1"/>
  <c r="AE771" i="1"/>
  <c r="AF771" i="1"/>
  <c r="AC771" i="1"/>
  <c r="AD771" i="1"/>
  <c r="AA771" i="1"/>
  <c r="AB771" i="1"/>
  <c r="Y771" i="1"/>
  <c r="Z771" i="1"/>
  <c r="W771" i="1"/>
  <c r="X771" i="1"/>
  <c r="U771" i="1"/>
  <c r="V771" i="1"/>
  <c r="S771" i="1"/>
  <c r="T771" i="1"/>
  <c r="Q771" i="1"/>
  <c r="R771" i="1"/>
  <c r="O771" i="1"/>
  <c r="P771" i="1"/>
  <c r="V716" i="1"/>
  <c r="T716" i="1"/>
  <c r="U716" i="1"/>
  <c r="R716" i="1"/>
  <c r="S716" i="1"/>
  <c r="P716" i="1"/>
  <c r="Q716" i="1"/>
  <c r="O716" i="1"/>
  <c r="T618" i="1" a="1"/>
  <c r="T621" i="1" s="1"/>
  <c r="S618" i="1" a="1"/>
  <c r="S621" i="1" s="1"/>
  <c r="R618" i="1" a="1"/>
  <c r="R621" i="1" s="1"/>
  <c r="P618" i="1" a="1"/>
  <c r="P621" i="1" s="1"/>
  <c r="Q618" i="1" a="1"/>
  <c r="Q621" i="1" s="1"/>
  <c r="O618" i="1" a="1"/>
  <c r="O621" i="1" s="1"/>
  <c r="T617" i="1" a="1"/>
  <c r="T620" i="1" s="1"/>
  <c r="S617" i="1" a="1"/>
  <c r="S620" i="1" s="1"/>
  <c r="R617" i="1" a="1"/>
  <c r="R620" i="1" s="1"/>
  <c r="Q617" i="1" a="1"/>
  <c r="Q620" i="1" s="1"/>
  <c r="P617" i="1" a="1"/>
  <c r="P620" i="1" s="1"/>
  <c r="O617" i="1" a="1"/>
  <c r="O620" i="1" s="1"/>
  <c r="Q547" i="1" a="1"/>
  <c r="O547" i="1" a="1"/>
  <c r="R547" i="1" a="1"/>
  <c r="P547" i="1" a="1"/>
  <c r="S547" i="1" a="1"/>
  <c r="S548" i="1" a="1"/>
  <c r="T547" i="1" a="1"/>
  <c r="T548" i="1" a="1"/>
  <c r="R548" i="1" a="1"/>
  <c r="Q548" i="1" a="1"/>
  <c r="P548" i="1" a="1"/>
  <c r="O548" i="1" a="1"/>
  <c r="W412" i="1" a="1"/>
  <c r="O412" i="1" a="1"/>
  <c r="O320" i="1" a="1"/>
  <c r="O313" i="1" a="1"/>
  <c r="O286" i="1" a="1"/>
  <c r="E299" i="1" a="1"/>
  <c r="O228" i="1" a="1"/>
  <c r="O230" i="1" a="1"/>
  <c r="O225" i="1" a="1"/>
  <c r="AA196" i="1" s="1"/>
  <c r="O227" i="1" a="1"/>
  <c r="BG76" i="1" a="1"/>
  <c r="BH76" i="1" a="1"/>
  <c r="BE76" i="1" a="1"/>
  <c r="BF76" i="1" a="1"/>
  <c r="AW76" i="1" a="1"/>
  <c r="BD76" i="1" a="1"/>
  <c r="AT37" i="1" a="1"/>
  <c r="AU37" i="1" a="1"/>
  <c r="AR37" i="1" a="1"/>
  <c r="AS37" i="1" a="1"/>
  <c r="AP37" i="1" a="1"/>
  <c r="AQ37" i="1" a="1"/>
  <c r="O1095" i="1" l="1" a="1"/>
  <c r="O1100" i="1" a="1"/>
  <c r="W1095" i="1" s="1" a="1"/>
  <c r="AP890" i="1" a="1"/>
  <c r="O905" i="1" s="1" a="1"/>
  <c r="AW890" i="1" s="1" a="1"/>
  <c r="V773" i="1"/>
  <c r="U773" i="1"/>
  <c r="T773" i="1"/>
  <c r="S773" i="1"/>
  <c r="R773" i="1"/>
  <c r="Q773" i="1"/>
  <c r="P773" i="1"/>
  <c r="O773" i="1"/>
  <c r="O718" i="1" a="1"/>
  <c r="AA419" i="1" a="1"/>
  <c r="AB419" i="1" a="1"/>
  <c r="Y419" i="1" a="1"/>
  <c r="Z419" i="1" a="1"/>
  <c r="W419" i="1" a="1"/>
  <c r="X419" i="1" a="1"/>
  <c r="S419" i="1" a="1"/>
  <c r="T419" i="1" a="1"/>
  <c r="Q419" i="1" a="1"/>
  <c r="R419" i="1" a="1"/>
  <c r="O419" i="1" a="1"/>
  <c r="P419" i="1" a="1"/>
  <c r="O327" i="1" a="1"/>
  <c r="BK76" i="1" a="1"/>
  <c r="AW45" i="1" a="1"/>
  <c r="AB1095" i="1" l="1" a="1"/>
  <c r="O916" i="1" a="1"/>
  <c r="O918" i="1" s="1" a="1"/>
  <c r="O952" i="1" s="1" a="1"/>
  <c r="T971" i="1" s="1"/>
  <c r="E775" i="1" a="1"/>
  <c r="AD419" i="1" a="1"/>
  <c r="W426" i="1" s="1" a="1"/>
  <c r="O426" i="1" a="1"/>
  <c r="AI1095" i="1" l="1" a="1"/>
  <c r="AJ1095" i="1" a="1"/>
  <c r="AG1095" i="1" a="1"/>
  <c r="AH1095" i="1" a="1"/>
  <c r="R971" i="1"/>
  <c r="S971" i="1"/>
  <c r="P971" i="1"/>
  <c r="Q971" i="1"/>
  <c r="T970" i="1"/>
  <c r="O971" i="1"/>
  <c r="R970" i="1"/>
  <c r="S970" i="1"/>
  <c r="P970" i="1"/>
  <c r="Q970" i="1"/>
  <c r="O961" i="1" a="1"/>
  <c r="O980" i="1" s="1" a="1"/>
  <c r="O970" i="1"/>
  <c r="O927" i="1" a="1"/>
  <c r="O934" i="1" a="1"/>
  <c r="O784" i="1" a="1"/>
  <c r="AL1095" i="1" l="1" a="1"/>
  <c r="O1110" i="1" s="1" a="1"/>
  <c r="AL1110" i="1" s="1" a="1"/>
  <c r="V978" i="1"/>
  <c r="U978" i="1"/>
  <c r="T978" i="1"/>
  <c r="S978" i="1"/>
  <c r="R978" i="1"/>
  <c r="Q978" i="1"/>
  <c r="O978" i="1"/>
  <c r="P978" i="1"/>
  <c r="T974" i="1" a="1"/>
  <c r="R974" i="1" a="1"/>
  <c r="S974" i="1" a="1"/>
  <c r="Q974" i="1" a="1"/>
  <c r="P974" i="1" a="1"/>
  <c r="O974" i="1" a="1"/>
  <c r="T973" i="1" a="1"/>
  <c r="S973" i="1" a="1"/>
  <c r="R973" i="1" a="1"/>
  <c r="Q973" i="1" a="1"/>
  <c r="P973" i="1" a="1"/>
  <c r="O973" i="1" a="1"/>
  <c r="O941" i="1" a="1"/>
  <c r="W941" i="1" s="1" a="1"/>
  <c r="AH793" i="1"/>
  <c r="AE793" i="1"/>
  <c r="AF793" i="1"/>
  <c r="AI793" i="1"/>
  <c r="AC793" i="1"/>
  <c r="AD793" i="1"/>
  <c r="AA793" i="1"/>
  <c r="AB793" i="1"/>
  <c r="Y793" i="1"/>
  <c r="Z793" i="1"/>
  <c r="W793" i="1"/>
  <c r="X793" i="1"/>
  <c r="U793" i="1"/>
  <c r="V793" i="1"/>
  <c r="S793" i="1"/>
  <c r="T793" i="1"/>
  <c r="Q793" i="1"/>
  <c r="R793" i="1"/>
  <c r="O793" i="1"/>
  <c r="P793" i="1"/>
  <c r="AK793" i="1"/>
  <c r="AL793" i="1"/>
  <c r="AJ793" i="1"/>
  <c r="AG793" i="1"/>
  <c r="O1120" i="1" l="1" a="1"/>
  <c r="O1122" i="1" s="1" a="1"/>
  <c r="O979" i="1" a="1"/>
  <c r="O981" i="1" s="1" a="1"/>
  <c r="O983" i="1" s="1"/>
  <c r="V795" i="1"/>
  <c r="U795" i="1"/>
  <c r="S795" i="1"/>
  <c r="T795" i="1"/>
  <c r="Q795" i="1"/>
  <c r="R795" i="1"/>
  <c r="P795" i="1"/>
  <c r="O795" i="1"/>
  <c r="O1131" i="1" l="1" a="1"/>
  <c r="O1138" i="1" a="1"/>
  <c r="E797" i="1" a="1"/>
  <c r="O1145" i="1" l="1" a="1"/>
  <c r="V1145" i="1" s="1" a="1"/>
  <c r="O806" i="1" a="1"/>
  <c r="O1156" i="1" l="1" a="1"/>
  <c r="O1158" i="1" s="1" a="1"/>
  <c r="O1167" i="1" s="1" a="1"/>
  <c r="AI815" i="1"/>
  <c r="AJ815" i="1"/>
  <c r="AG815" i="1"/>
  <c r="AH815" i="1"/>
  <c r="AK815" i="1"/>
  <c r="AL815" i="1"/>
  <c r="AE815" i="1"/>
  <c r="AF815" i="1"/>
  <c r="AC815" i="1"/>
  <c r="AD815" i="1"/>
  <c r="AA815" i="1"/>
  <c r="AB815" i="1"/>
  <c r="Y815" i="1"/>
  <c r="Z815" i="1"/>
  <c r="W815" i="1"/>
  <c r="X815" i="1"/>
  <c r="U815" i="1"/>
  <c r="V815" i="1"/>
  <c r="S815" i="1"/>
  <c r="T815" i="1"/>
  <c r="Q815" i="1"/>
  <c r="R815" i="1"/>
  <c r="O815" i="1"/>
  <c r="P815" i="1"/>
  <c r="Q1194" i="1" l="1"/>
  <c r="R1194" i="1"/>
  <c r="O1194" i="1"/>
  <c r="P1194" i="1"/>
  <c r="Q1174" i="1" a="1"/>
  <c r="Q1181" i="1" s="1" a="1"/>
  <c r="R1174" i="1" a="1"/>
  <c r="R1181" i="1" s="1" a="1"/>
  <c r="O1174" i="1" a="1"/>
  <c r="O1181" i="1" s="1" a="1"/>
  <c r="P1174" i="1" a="1"/>
  <c r="P1181" i="1" s="1" a="1"/>
  <c r="P817" i="1"/>
  <c r="U817" i="1"/>
  <c r="S817" i="1"/>
  <c r="O817" i="1"/>
  <c r="V817" i="1"/>
  <c r="T817" i="1"/>
  <c r="R817" i="1"/>
  <c r="Q817" i="1"/>
  <c r="O1196" i="1" l="1" a="1"/>
  <c r="O1197" i="1" s="1"/>
  <c r="O1182" i="1" a="1"/>
  <c r="O1184" i="1" s="1"/>
  <c r="P1187" i="1" s="1"/>
  <c r="E819" i="1" a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<sst xmlns="http://schemas.openxmlformats.org/spreadsheetml/2006/main" count="489" uniqueCount="327">
  <si>
    <t>DeepSeek-V3 by Hand</t>
  </si>
  <si>
    <t>Every matrix computed in the grid. Companion to src/compact_v3.</t>
  </si>
  <si>
    <t>Table of Content</t>
  </si>
  <si>
    <t># Attention</t>
  </si>
  <si>
    <t>seq</t>
  </si>
  <si>
    <t>d_model</t>
  </si>
  <si>
    <t>d_k</t>
  </si>
  <si>
    <t>d_v</t>
  </si>
  <si>
    <t>pos</t>
  </si>
  <si>
    <t>X</t>
  </si>
  <si>
    <t>QKV Projection</t>
  </si>
  <si>
    <t>Wq</t>
  </si>
  <si>
    <t>Q</t>
  </si>
  <si>
    <t>Wk</t>
  </si>
  <si>
    <t>K</t>
  </si>
  <si>
    <t>Wv</t>
  </si>
  <si>
    <t>V</t>
  </si>
  <si>
    <t>K^T</t>
  </si>
  <si>
    <t>D = K^T Q</t>
  </si>
  <si>
    <t>S = D / sqrt(dk)</t>
  </si>
  <si>
    <t>A = Softmax(S)</t>
  </si>
  <si>
    <t>O = V A</t>
  </si>
  <si>
    <t># Causal Attention and the KV Cache</t>
  </si>
  <si>
    <t>M = Causal Mask</t>
  </si>
  <si>
    <t>S' = S masked</t>
  </si>
  <si>
    <t>A = Softmax(S')</t>
  </si>
  <si>
    <t>KV Cache</t>
  </si>
  <si>
    <t>t</t>
  </si>
  <si>
    <t>K floats</t>
  </si>
  <si>
    <t>V floats</t>
  </si>
  <si>
    <t>cached</t>
  </si>
  <si>
    <t>floats per token</t>
  </si>
  <si>
    <t>context</t>
  </si>
  <si>
    <t>cache at context</t>
  </si>
  <si>
    <t>Decode t = 6: only k6 and v6 are new. k1..k5 and v1..v5 are read back</t>
  </si>
  <si>
    <t>from cache, never recomputed. That is the row above growing linearly.</t>
  </si>
  <si>
    <t># Low-Rank Compression</t>
  </si>
  <si>
    <t>d_compressed</t>
  </si>
  <si>
    <t>Compress</t>
  </si>
  <si>
    <t>W_down</t>
  </si>
  <si>
    <t>c</t>
  </si>
  <si>
    <t>Reconstruct</t>
  </si>
  <si>
    <t>W_up</t>
  </si>
  <si>
    <t>x_hat</t>
  </si>
  <si>
    <t>x_hat - X</t>
  </si>
  <si>
    <t># Multi-head vs Latent Attention</t>
  </si>
  <si>
    <t>kv_lora_rank</t>
  </si>
  <si>
    <t>n_heads</t>
  </si>
  <si>
    <t>head_dim</t>
  </si>
  <si>
    <t>Multi-head Attention</t>
  </si>
  <si>
    <t>W_K</t>
  </si>
  <si>
    <t>heads</t>
  </si>
  <si>
    <t>W_V</t>
  </si>
  <si>
    <t>Latent Attention</t>
  </si>
  <si>
    <t>W_DKV</t>
  </si>
  <si>
    <t>c_KV</t>
  </si>
  <si>
    <t>W_UK</t>
  </si>
  <si>
    <t>W_UV</t>
  </si>
  <si>
    <t>cache per token</t>
  </si>
  <si>
    <t>MHA</t>
  </si>
  <si>
    <t>MLA</t>
  </si>
  <si>
    <t>floats</t>
  </si>
  <si>
    <t># The RoPE Conflict</t>
  </si>
  <si>
    <t>rope_dim</t>
  </si>
  <si>
    <t>Order 1: rotate after projecting</t>
  </si>
  <si>
    <t>RoPE(K)</t>
  </si>
  <si>
    <t>theta = pos</t>
  </si>
  <si>
    <t>Order 2: rotate the code, then project</t>
  </si>
  <si>
    <t>W_UK (same)</t>
  </si>
  <si>
    <t>RoPE(c_KV)</t>
  </si>
  <si>
    <t>W_UK RoPE(c_KV)</t>
  </si>
  <si>
    <t>RoPE(K)[h1,d0,t1]</t>
  </si>
  <si>
    <t>W_UK RoPE(c)[h1,d0,t1]</t>
  </si>
  <si>
    <t># Decoupled RoPE</t>
  </si>
  <si>
    <t>q_lora_rank</t>
  </si>
  <si>
    <t>qk_nope</t>
  </si>
  <si>
    <t>qk_rope</t>
  </si>
  <si>
    <t>Split the query head</t>
  </si>
  <si>
    <t>W_DQ</t>
  </si>
  <si>
    <t>c_Q</t>
  </si>
  <si>
    <t>W_UQ1</t>
  </si>
  <si>
    <t>q_c1</t>
  </si>
  <si>
    <t>W_UQ2</t>
  </si>
  <si>
    <t>q_c2</t>
  </si>
  <si>
    <t>W_QR1</t>
  </si>
  <si>
    <t>q_r1</t>
  </si>
  <si>
    <t>W_QR2</t>
  </si>
  <si>
    <t>q_r2</t>
  </si>
  <si>
    <t>RoPE(q_r)</t>
  </si>
  <si>
    <t>Split the key head</t>
  </si>
  <si>
    <t>W_UK1</t>
  </si>
  <si>
    <t>k_c1</t>
  </si>
  <si>
    <t>W_UK2</t>
  </si>
  <si>
    <t>k_c2</t>
  </si>
  <si>
    <t>W_KR</t>
  </si>
  <si>
    <t>k_r</t>
  </si>
  <si>
    <t>RoPE(k_r)</t>
  </si>
  <si>
    <t>Score, head 1</t>
  </si>
  <si>
    <t>k_c1^T</t>
  </si>
  <si>
    <t>q_r1^T</t>
  </si>
  <si>
    <t>k_r^T</t>
  </si>
  <si>
    <t>S_c = K_c1^T Q_c1</t>
  </si>
  <si>
    <t>S_r = K_r^T Q_r1</t>
  </si>
  <si>
    <t>S = S_c + S_r</t>
  </si>
  <si>
    <t>RoPE now hits k_r, a key straight from x, not the latent code.</t>
  </si>
  <si>
    <t>Section 5 conflict gone: content never rotates, rope never projects.</t>
  </si>
  <si>
    <t># Weight Absorption and the Cache Ledger</t>
  </si>
  <si>
    <t>v_head</t>
  </si>
  <si>
    <t>Shared preparation</t>
  </si>
  <si>
    <t>Naive: rebuild K and V per head</t>
  </si>
  <si>
    <t>W_UV1</t>
  </si>
  <si>
    <t>v1</t>
  </si>
  <si>
    <t>q_c1^T</t>
  </si>
  <si>
    <t>RoPE(k_r)^T</t>
  </si>
  <si>
    <t>S_A = K_c1^T Q_c1 + RoPE(K_r)^T RoPE(Q_r)</t>
  </si>
  <si>
    <t>A_A = softmax(S_A)</t>
  </si>
  <si>
    <t>O_A = V1 A_A</t>
  </si>
  <si>
    <t>Absorbed: fold W_UK into Q, W_UV out</t>
  </si>
  <si>
    <t>q'_c = q_c1^T W_UK1</t>
  </si>
  <si>
    <t>c_KV^T</t>
  </si>
  <si>
    <t>q'_c^T</t>
  </si>
  <si>
    <t>S_B = c_KV^T q'_c + RoPE(K_r)^T RoPE(Q_r)</t>
  </si>
  <si>
    <t>A_B = softmax(S_B)</t>
  </si>
  <si>
    <t>c_KV A_B (weighted latent)</t>
  </si>
  <si>
    <t>O_B = W_UV1 (c_KV A_B)</t>
  </si>
  <si>
    <t>S_A = S_B and O_A = O_B: identical output, but path B never materialises a per-head K or V.</t>
  </si>
  <si>
    <t>It stays in the shared latent code c_KV the whole way. Head 2 is identical and is not shown.</t>
  </si>
  <si>
    <t>Cache per token: what each scheme must store</t>
  </si>
  <si>
    <t>GQA (1 group)</t>
  </si>
  <si>
    <t>MLA (c_KV + k_r)</t>
  </si>
  <si>
    <t>MLA is smaller than MHA by</t>
  </si>
  <si>
    <t>times</t>
  </si>
  <si>
    <t># SwiGLU and Top-k MoE</t>
  </si>
  <si>
    <t>expert_hidden</t>
  </si>
  <si>
    <t>n_experts</t>
  </si>
  <si>
    <t>top_k</t>
  </si>
  <si>
    <t>SwiGLU expert</t>
  </si>
  <si>
    <t>W_gate</t>
  </si>
  <si>
    <t>g = silu(W_g X)</t>
  </si>
  <si>
    <t>W_value</t>
  </si>
  <si>
    <t>v = W_v X</t>
  </si>
  <si>
    <t>h = g * v</t>
  </si>
  <si>
    <t>W_out</t>
  </si>
  <si>
    <t>out = W_o h</t>
  </si>
  <si>
    <t>Router</t>
  </si>
  <si>
    <t>W_router</t>
  </si>
  <si>
    <t>logits = W_r X</t>
  </si>
  <si>
    <t>A = softmax(logits) by token</t>
  </si>
  <si>
    <t>argmax expert per token</t>
  </si>
  <si>
    <t>Each token goes to its argmax expert; that expert runs the SwiGLU above.</t>
  </si>
  <si>
    <t>top_k = 1 here. Section 9 sends each token to 2 experts and adds a shared one.</t>
  </si>
  <si>
    <t># DeepSeekMoE: Fine-Grained and Shared Experts</t>
  </si>
  <si>
    <t>n_shared</t>
  </si>
  <si>
    <t>logits</t>
  </si>
  <si>
    <t>A = softmax</t>
  </si>
  <si>
    <t>top-2 experts per token</t>
  </si>
  <si>
    <t>1st</t>
  </si>
  <si>
    <t>2nd</t>
  </si>
  <si>
    <t>w1</t>
  </si>
  <si>
    <t>w2</t>
  </si>
  <si>
    <t>Shared expert (always on)</t>
  </si>
  <si>
    <t>W_sg</t>
  </si>
  <si>
    <t>W_sv</t>
  </si>
  <si>
    <t>W_so</t>
  </si>
  <si>
    <t>shared out</t>
  </si>
  <si>
    <t>A routed expert would compute out = W_o (silu(W_g x)*W_v x) the same way.</t>
  </si>
  <si>
    <t>top-2 weights are renormalised over the selected pair, then each routed expert</t>
  </si>
  <si>
    <t>contributes weight * its SwiGLU output; the shared expert adds its full output.</t>
  </si>
  <si>
    <t># Sigmoid Affinity and Route Scale</t>
  </si>
  <si>
    <t>route_scale</t>
  </si>
  <si>
    <t>affinity = sigmoid(logits)</t>
  </si>
  <si>
    <t>top-2 by affinity</t>
  </si>
  <si>
    <t>route scale</t>
  </si>
  <si>
    <t>w1 * route_scale</t>
  </si>
  <si>
    <t>w2 * route_scale</t>
  </si>
  <si>
    <t>Sigmoid lets several experts be good at once; softmax forces a zero-sum.</t>
  </si>
  <si>
    <t>Renormalise over the selected pair only, then scale by route_scale.</t>
  </si>
  <si>
    <t># Load Collapse</t>
  </si>
  <si>
    <t>n_tokens</t>
  </si>
  <si>
    <t>advantage</t>
  </si>
  <si>
    <t>X (24 tokens)</t>
  </si>
  <si>
    <t>bias</t>
  </si>
  <si>
    <t>selection score = logits + bias</t>
  </si>
  <si>
    <t>top-2 expert per token</t>
  </si>
  <si>
    <t>load per expert</t>
  </si>
  <si>
    <t>normalised entropy</t>
  </si>
  <si>
    <t>Uniform load would give entropy 1.0. Three experts taking everything</t>
  </si>
  <si>
    <t>drives it toward 0. This is the failure the bias term in section 12 fixes.</t>
  </si>
  <si>
    <t># Auxiliary-Loss-Free Load Balancing</t>
  </si>
  <si>
    <t>update_rate</t>
  </si>
  <si>
    <t>advantage (experts 2, 5, 8)</t>
  </si>
  <si>
    <t>bias b (3 update steps)</t>
  </si>
  <si>
    <t>b0</t>
  </si>
  <si>
    <t>score0 = logits + b0</t>
  </si>
  <si>
    <t>load0</t>
  </si>
  <si>
    <t>count0</t>
  </si>
  <si>
    <t>b1 = b0 + rate*sign(target - count0)</t>
  </si>
  <si>
    <t>score1 = logits + b1</t>
  </si>
  <si>
    <t>load1</t>
  </si>
  <si>
    <t>count1</t>
  </si>
  <si>
    <t>b2 = b1 + rate*sign(target - count1)</t>
  </si>
  <si>
    <t>score2 = logits + b2</t>
  </si>
  <si>
    <t>load2</t>
  </si>
  <si>
    <t>count2</t>
  </si>
  <si>
    <t>b3 = b2 + rate*sign(target - count2)</t>
  </si>
  <si>
    <t>Proof: the gate weight does not change</t>
  </si>
  <si>
    <t>W_router copy</t>
  </si>
  <si>
    <t>W_router - W_router copy</t>
  </si>
  <si>
    <t>All zeros: b changes the selection, never the gate weight.</t>
  </si>
  <si>
    <t>The router output is the same function of x at every step.</t>
  </si>
  <si>
    <t># The V3 Block and the Sequence-Wise Balance Loss</t>
  </si>
  <si>
    <t>rms_eps</t>
  </si>
  <si>
    <t>balance_coef</t>
  </si>
  <si>
    <t>RMSNorm (no mean subtraction)</t>
  </si>
  <si>
    <t>rms</t>
  </si>
  <si>
    <t>gamma</t>
  </si>
  <si>
    <t>n = X / rms * gamma</t>
  </si>
  <si>
    <t>Attention sublayer</t>
  </si>
  <si>
    <t>Q = Wq n</t>
  </si>
  <si>
    <t>K = Wk n</t>
  </si>
  <si>
    <t>V = Wv n</t>
  </si>
  <si>
    <t>S = K^T Q / sqrt(dk)</t>
  </si>
  <si>
    <t>A = causal softmax</t>
  </si>
  <si>
    <t>O_attn = V A</t>
  </si>
  <si>
    <t>W_O</t>
  </si>
  <si>
    <t>attn_out = W_O O_attn</t>
  </si>
  <si>
    <t>x1 = X + attn_out   (residual, X not normalised)</t>
  </si>
  <si>
    <t>FFN sublayer, layer 0: dense SwiGLU</t>
  </si>
  <si>
    <t>gamma2</t>
  </si>
  <si>
    <t>rms2</t>
  </si>
  <si>
    <t>n2 = x1 / rms2 * gamma2</t>
  </si>
  <si>
    <t>g = silu(W_g n2)</t>
  </si>
  <si>
    <t>v = W_v n2</t>
  </si>
  <si>
    <t>ffn_out = W_o (g * v)</t>
  </si>
  <si>
    <t>y = x1 + ffn_out   (block output)</t>
  </si>
  <si>
    <t>FFN sublayer, layer 1 and up: MoE replaces the dense FFN</t>
  </si>
  <si>
    <t>logits = W_r n2</t>
  </si>
  <si>
    <t>top-1 expert</t>
  </si>
  <si>
    <t>top-2 expert</t>
  </si>
  <si>
    <t>Sequence-wise balance loss</t>
  </si>
  <si>
    <t>count</t>
  </si>
  <si>
    <t>f = count*n_experts/(tokens*top_k)</t>
  </si>
  <si>
    <t>P = mean affinity per expert</t>
  </si>
  <si>
    <t>f * P</t>
  </si>
  <si>
    <t>balance loss = coef * sum(f*P)</t>
  </si>
  <si>
    <t>Tiny by design. The bias in section 12 does the real balancing; this term</t>
  </si>
  <si>
    <t>is a gradient nudge, and at coefficient 1e-4 it barely moves the loss.</t>
  </si>
  <si>
    <t>Parameters: total against active per token</t>
  </si>
  <si>
    <t>attention</t>
  </si>
  <si>
    <t>one SwiGLU expert</t>
  </si>
  <si>
    <t>MoE total (8 routed + 1 shared + router)</t>
  </si>
  <si>
    <t>MoE active (top_k routed + 1 shared + router)</t>
  </si>
  <si>
    <t>block total</t>
  </si>
  <si>
    <t>block active</t>
  </si>
  <si>
    <t>active fraction</t>
  </si>
  <si>
    <t># Multi-Token Prediction</t>
  </si>
  <si>
    <t>vocab</t>
  </si>
  <si>
    <t>horizon</t>
  </si>
  <si>
    <t>aligned</t>
  </si>
  <si>
    <t>lambda</t>
  </si>
  <si>
    <t>lambda_final</t>
  </si>
  <si>
    <t>decay_fraction</t>
  </si>
  <si>
    <t>The alignment</t>
  </si>
  <si>
    <t>token t</t>
  </si>
  <si>
    <t>i (aligned)</t>
  </si>
  <si>
    <t>hidden state used</t>
  </si>
  <si>
    <t>input token t(i+1)</t>
  </si>
  <si>
    <t>target t(i+2)</t>
  </si>
  <si>
    <t>align_hidden_states drops the last 2 positions;</t>
  </si>
  <si>
    <t>make_mtp_input_tokens takes t(2..5);</t>
  </si>
  <si>
    <t>make_future_targets takes t(3..6).</t>
  </si>
  <si>
    <t>Token embedding, tied to the output head</t>
  </si>
  <si>
    <t>E</t>
  </si>
  <si>
    <t>Emb(t(i+1))</t>
  </si>
  <si>
    <t>h from the main model (y in section 13)</t>
  </si>
  <si>
    <t>h</t>
  </si>
  <si>
    <t>h aligned (drop last 2)</t>
  </si>
  <si>
    <t>RMSNorm both inputs, concatenate, then merge</t>
  </si>
  <si>
    <t>gamma_h</t>
  </si>
  <si>
    <t>rms_h</t>
  </si>
  <si>
    <t>gamma_e</t>
  </si>
  <si>
    <t>rms_e</t>
  </si>
  <si>
    <t>concat: RMSNorm(h) stacked on RMSNorm(Emb)</t>
  </si>
  <si>
    <t>M (d_model x 2*d_model)</t>
  </si>
  <si>
    <t>merged = M concat</t>
  </si>
  <si>
    <t>One causal transformer block</t>
  </si>
  <si>
    <t>gamma3</t>
  </si>
  <si>
    <t>rms3</t>
  </si>
  <si>
    <t>n3</t>
  </si>
  <si>
    <t>attn_out</t>
  </si>
  <si>
    <t>r1 = merged + attn_out</t>
  </si>
  <si>
    <t>FFN sublayer</t>
  </si>
  <si>
    <t>gamma4</t>
  </si>
  <si>
    <t>rms4</t>
  </si>
  <si>
    <t>n4</t>
  </si>
  <si>
    <t>g = silu(W_g n4)</t>
  </si>
  <si>
    <t>v = W_v n4</t>
  </si>
  <si>
    <t>ffn_out</t>
  </si>
  <si>
    <t>refined = r1 + ffn_out</t>
  </si>
  <si>
    <t>Output head, tied: logits = E^T final_norm(refined)</t>
  </si>
  <si>
    <t>gamma5</t>
  </si>
  <si>
    <t>rms5</t>
  </si>
  <si>
    <t>nf</t>
  </si>
  <si>
    <t>logits (vocab x aligned)</t>
  </si>
  <si>
    <t>p = softmax(logits)</t>
  </si>
  <si>
    <t>p at target</t>
  </si>
  <si>
    <t>loss = -ln(p)</t>
  </si>
  <si>
    <t>mtp loss (mean)</t>
  </si>
  <si>
    <t>main loss (from the model head)</t>
  </si>
  <si>
    <t>combined = main + lambda * mtp</t>
  </si>
  <si>
    <t>lambda at 50% of training</t>
  </si>
  <si>
    <t>lambda at 80% of training</t>
  </si>
  <si>
    <t>The same module as a speculative draft head</t>
  </si>
  <si>
    <t>proposal = argmax logits</t>
  </si>
  <si>
    <t>actual t(i+2)</t>
  </si>
  <si>
    <t>accepted</t>
  </si>
  <si>
    <t>acceptance rate</t>
  </si>
  <si>
    <t>Untrained weights, so the rate is chance. What matters is that the</t>
  </si>
  <si>
    <t>module needs only t(i+1), which the main model has just emitted.</t>
  </si>
  <si>
    <t>Why feeding the target as input would degenerate the objective</t>
  </si>
  <si>
    <t>E^T e_target at i=1</t>
  </si>
  <si>
    <t>The head is tied to the embedding, so a target fed as input scores</t>
  </si>
  <si>
    <t>itself through this dot product alone. Embedding columns are unit</t>
  </si>
  <si>
    <t>length, so the target index reads exactly 1.00 and every other</t>
  </si>
  <si>
    <t>index is a cosine below it, on every recalc. A module fed the</t>
  </si>
  <si>
    <t>target would learn the identity map and teach nothing. It is fed</t>
  </si>
  <si>
    <t>t(i+1), one step before the target. See GATE_U.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</si>
</sst>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36"/>
      <color rgb="FF445D6A"/>
      <name val="Aptos Narrow"/>
      <family val="2"/>
    </font>
    <font>
      <b/>
      <sz val="12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BE5D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 applyAlignment="1">
      <alignment horizontal="center"/>
    </xf>
    <xf numFmtId="0" fontId="2" fillId="0" borderId="2" xfId="0" applyFont="1" applyBorder="1"/>
    <xf numFmtId="0" fontId="1" fillId="0" borderId="2" xfId="0" applyFont="1" applyBorder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2" xfId="0" applyFont="1" applyBorder="1"/>
    <xf numFmtId="0" fontId="1" fillId="0" borderId="3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105AF-097C-401B-9F9E-338007675BA0}">
  <dimension ref="A1:EA1207"/>
  <sheetViews>
    <sheetView tabSelected="1" zoomScale="75" zoomScaleNormal="75" workbookViewId="0"/>
  </sheetViews>
  <sheetFormatPr defaultColWidth="5.6640625" defaultRowHeight="24" customHeight="1" x14ac:dyDescent="0.3"/>
  <cols>
    <col min="1" max="5" width="5.6640625" style="1"/>
    <col min="6" max="6" width="7.77734375" style="1" bestFit="1" customWidth="1"/>
    <col min="7" max="14" width="5.6640625" style="1"/>
    <col min="15" max="15" width="7.77734375" style="1" bestFit="1" customWidth="1"/>
    <col min="16" max="16384" width="5.6640625" style="1"/>
  </cols>
  <sheetData>
    <row r="1" spans="1:4" ht="63.75" customHeight="1" x14ac:dyDescent="0.9">
      <c r="A1" s="2" t="s">
        <v>0</v>
      </c>
    </row>
    <row r="2" spans="1:4" ht="24" customHeight="1" x14ac:dyDescent="0.3">
      <c r="A2" s="1" t="s">
        <v>1</v>
      </c>
    </row>
    <row r="4" spans="1:4" ht="24" customHeight="1" x14ac:dyDescent="0.3">
      <c r="A4" s="3" t="s">
        <v>2</v>
      </c>
    </row>
    <row r="5" spans="1:4" ht="24" customHeight="1" x14ac:dyDescent="0.3">
      <c r="B5" s="1" t="str" cm="1">
        <f t="array" ref="B5:B18">_xlfn._xlws.FILTER("A"&amp;ROW(A:A), LEFT(A:A,1)="#")</f>
        <v>A21</v>
      </c>
      <c r="C5" s="4" t="str">
        <f>HYPERLINK("#"&amp;B5, _xlfn.UNICHAR(128279))</f>
        <v>🔗</v>
      </c>
      <c r="D5" s="1" t="str" cm="1">
        <f t="array" aca="1" ref="D5" ca="1">_xlfn.LET(_xlpm.n, INDIRECT(B5), _xlpm.indent, 9, _xlpm.k, LEN(_xlpm.n) - LEN(SUBSTITUTE(_xlpm.n,"#","")), IF(_xlpm.k&gt;=2, REPT(" ", _xlpm.indent*(_xlpm.k-1)) &amp; _xlpm.n, _xlpm.n))</f>
        <v># Attention</v>
      </c>
    </row>
    <row r="6" spans="1:4" ht="24" customHeight="1" x14ac:dyDescent="0.3">
      <c r="B6" s="1" t="str">
        <v>A60</v>
      </c>
      <c r="C6" s="4" t="str">
        <f>HYPERLINK("#"&amp;B6, _xlfn.UNICHAR(128279))</f>
        <v>🔗</v>
      </c>
      <c r="D6" s="1" t="str" cm="1">
        <f t="array" aca="1" ref="D6" ca="1">_xlfn.LET(_xlpm.n, INDIRECT(B6), _xlpm.indent, 9, _xlpm.k, LEN(_xlpm.n) - LEN(SUBSTITUTE(_xlpm.n,"#","")), IF(_xlpm.k&gt;=2, REPT(" ", _xlpm.indent*(_xlpm.k-1)) &amp; _xlpm.n, _xlpm.n))</f>
        <v># Causal Attention and the KV Cache</v>
      </c>
    </row>
    <row r="7" spans="1:4" ht="24" customHeight="1" x14ac:dyDescent="0.3">
      <c r="B7" s="1" t="str">
        <v>A108</v>
      </c>
      <c r="C7" s="4" t="str">
        <f>HYPERLINK("#"&amp;B7, _xlfn.UNICHAR(128279))</f>
        <v>🔗</v>
      </c>
      <c r="D7" s="1" t="str" cm="1">
        <f t="array" aca="1" ref="D7" ca="1">_xlfn.LET(_xlpm.n, INDIRECT(B7), _xlpm.indent, 9, _xlpm.k, LEN(_xlpm.n) - LEN(SUBSTITUTE(_xlpm.n,"#","")), IF(_xlpm.k&gt;=2, REPT(" ", _xlpm.indent*(_xlpm.k-1)) &amp; _xlpm.n, _xlpm.n))</f>
        <v># Low-Rank Compression</v>
      </c>
    </row>
    <row r="8" spans="1:4" ht="24" customHeight="1" x14ac:dyDescent="0.3">
      <c r="B8" s="1" t="str">
        <v>A145</v>
      </c>
      <c r="C8" s="4" t="str">
        <f>HYPERLINK("#"&amp;B8, _xlfn.UNICHAR(128279))</f>
        <v>🔗</v>
      </c>
      <c r="D8" s="1" t="str" cm="1">
        <f t="array" aca="1" ref="D8" ca="1">_xlfn.LET(_xlpm.n, INDIRECT(B8), _xlpm.indent, 9, _xlpm.k, LEN(_xlpm.n) - LEN(SUBSTITUTE(_xlpm.n,"#","")), IF(_xlpm.k&gt;=2, REPT(" ", _xlpm.indent*(_xlpm.k-1)) &amp; _xlpm.n, _xlpm.n))</f>
        <v># Multi-head vs Latent Attention</v>
      </c>
    </row>
    <row r="9" spans="1:4" ht="24" customHeight="1" x14ac:dyDescent="0.3">
      <c r="B9" s="1" t="str">
        <v>A195</v>
      </c>
      <c r="C9" s="4" t="str">
        <f>HYPERLINK("#"&amp;B9, _xlfn.UNICHAR(128279))</f>
        <v>🔗</v>
      </c>
      <c r="D9" s="1" t="str" cm="1">
        <f t="array" aca="1" ref="D9" ca="1">_xlfn.LET(_xlpm.n, INDIRECT(B9), _xlpm.indent, 9, _xlpm.k, LEN(_xlpm.n) - LEN(SUBSTITUTE(_xlpm.n,"#","")), IF(_xlpm.k&gt;=2, REPT(" ", _xlpm.indent*(_xlpm.k-1)) &amp; _xlpm.n, _xlpm.n))</f>
        <v># The RoPE Conflict</v>
      </c>
    </row>
    <row r="10" spans="1:4" ht="24" customHeight="1" x14ac:dyDescent="0.3">
      <c r="B10" s="1" t="str">
        <v>A250</v>
      </c>
      <c r="C10" s="4" t="str">
        <f>HYPERLINK("#"&amp;B10, _xlfn.UNICHAR(128279))</f>
        <v>🔗</v>
      </c>
      <c r="D10" s="1" t="str" cm="1">
        <f t="array" aca="1" ref="D10" ca="1">_xlfn.LET(_xlpm.n, INDIRECT(B10), _xlpm.indent, 9, _xlpm.k, LEN(_xlpm.n) - LEN(SUBSTITUTE(_xlpm.n,"#","")), IF(_xlpm.k&gt;=2, REPT(" ", _xlpm.indent*(_xlpm.k-1)) &amp; _xlpm.n, _xlpm.n))</f>
        <v># Decoupled RoPE</v>
      </c>
    </row>
    <row r="11" spans="1:4" ht="24" customHeight="1" x14ac:dyDescent="0.3">
      <c r="B11" s="1" t="str">
        <v>A340</v>
      </c>
      <c r="C11" s="4" t="str">
        <f>HYPERLINK("#"&amp;B11, _xlfn.UNICHAR(128279))</f>
        <v>🔗</v>
      </c>
      <c r="D11" s="1" t="str" cm="1">
        <f t="array" aca="1" ref="D11" ca="1">_xlfn.LET(_xlpm.n, INDIRECT(B11), _xlpm.indent, 9, _xlpm.k, LEN(_xlpm.n) - LEN(SUBSTITUTE(_xlpm.n,"#","")), IF(_xlpm.k&gt;=2, REPT(" ", _xlpm.indent*(_xlpm.k-1)) &amp; _xlpm.n, _xlpm.n))</f>
        <v># Weight Absorption and the Cache Ledger</v>
      </c>
    </row>
    <row r="12" spans="1:4" ht="24" customHeight="1" x14ac:dyDescent="0.3">
      <c r="B12" s="1" t="str">
        <v>A455</v>
      </c>
      <c r="C12" s="4" t="str">
        <f>HYPERLINK("#"&amp;B12, _xlfn.UNICHAR(128279))</f>
        <v>🔗</v>
      </c>
      <c r="D12" s="1" t="str" cm="1">
        <f t="array" aca="1" ref="D12" ca="1">_xlfn.LET(_xlpm.n, INDIRECT(B12), _xlpm.indent, 9, _xlpm.k, LEN(_xlpm.n) - LEN(SUBSTITUTE(_xlpm.n,"#","")), IF(_xlpm.k&gt;=2, REPT(" ", _xlpm.indent*(_xlpm.k-1)) &amp; _xlpm.n, _xlpm.n))</f>
        <v># SwiGLU and Top-k MoE</v>
      </c>
    </row>
    <row r="13" spans="1:4" ht="24" customHeight="1" x14ac:dyDescent="0.3">
      <c r="B13" s="1" t="str">
        <v>A510</v>
      </c>
      <c r="C13" s="4" t="str">
        <f>HYPERLINK("#"&amp;B13, _xlfn.UNICHAR(128279))</f>
        <v>🔗</v>
      </c>
      <c r="D13" s="1" t="str" cm="1">
        <f t="array" aca="1" ref="D13" ca="1">_xlfn.LET(_xlpm.n, INDIRECT(B13), _xlpm.indent, 9, _xlpm.k, LEN(_xlpm.n) - LEN(SUBSTITUTE(_xlpm.n,"#","")), IF(_xlpm.k&gt;=2, REPT(" ", _xlpm.indent*(_xlpm.k-1)) &amp; _xlpm.n, _xlpm.n))</f>
        <v># DeepSeekMoE: Fine-Grained and Shared Experts</v>
      </c>
    </row>
    <row r="14" spans="1:4" ht="24" customHeight="1" x14ac:dyDescent="0.3">
      <c r="B14" s="1" t="str">
        <v>A580</v>
      </c>
      <c r="C14" s="4" t="str">
        <f>HYPERLINK("#"&amp;B14, _xlfn.UNICHAR(128279))</f>
        <v>🔗</v>
      </c>
      <c r="D14" s="1" t="str" cm="1">
        <f t="array" aca="1" ref="D14" ca="1">_xlfn.LET(_xlpm.n, INDIRECT(B14), _xlpm.indent, 9, _xlpm.k, LEN(_xlpm.n) - LEN(SUBSTITUTE(_xlpm.n,"#","")), IF(_xlpm.k&gt;=2, REPT(" ", _xlpm.indent*(_xlpm.k-1)) &amp; _xlpm.n, _xlpm.n))</f>
        <v># Sigmoid Affinity and Route Scale</v>
      </c>
    </row>
    <row r="15" spans="1:4" ht="24" customHeight="1" x14ac:dyDescent="0.3">
      <c r="B15" s="1" t="str">
        <v>A632</v>
      </c>
      <c r="C15" s="4" t="str">
        <f>HYPERLINK("#"&amp;B15, _xlfn.UNICHAR(128279))</f>
        <v>🔗</v>
      </c>
      <c r="D15" s="1" t="str" cm="1">
        <f t="array" aca="1" ref="D15" ca="1">_xlfn.LET(_xlpm.n, INDIRECT(B15), _xlpm.indent, 9, _xlpm.k, LEN(_xlpm.n) - LEN(SUBSTITUTE(_xlpm.n,"#","")), IF(_xlpm.k&gt;=2, REPT(" ", _xlpm.indent*(_xlpm.k-1)) &amp; _xlpm.n, _xlpm.n))</f>
        <v># Load Collapse</v>
      </c>
    </row>
    <row r="16" spans="1:4" ht="24" customHeight="1" x14ac:dyDescent="0.3">
      <c r="B16" s="1" t="str">
        <v>A730</v>
      </c>
      <c r="C16" s="4" t="str">
        <f>HYPERLINK("#"&amp;B16, _xlfn.UNICHAR(128279))</f>
        <v>🔗</v>
      </c>
      <c r="D16" s="1" t="str" cm="1">
        <f t="array" aca="1" ref="D16" ca="1">_xlfn.LET(_xlpm.n, INDIRECT(B16), _xlpm.indent, 9, _xlpm.k, LEN(_xlpm.n) - LEN(SUBSTITUTE(_xlpm.n,"#","")), IF(_xlpm.k&gt;=2, REPT(" ", _xlpm.indent*(_xlpm.k-1)) &amp; _xlpm.n, _xlpm.n))</f>
        <v># Auxiliary-Loss-Free Load Balancing</v>
      </c>
    </row>
    <row r="17" spans="1:54" ht="24" customHeight="1" x14ac:dyDescent="0.3">
      <c r="B17" s="1" t="str">
        <v>A860</v>
      </c>
      <c r="C17" s="4" t="str">
        <f>HYPERLINK("#"&amp;B17, _xlfn.UNICHAR(128279))</f>
        <v>🔗</v>
      </c>
      <c r="D17" s="1" t="str" cm="1">
        <f t="array" aca="1" ref="D17" ca="1">_xlfn.LET(_xlpm.n, INDIRECT(B17), _xlpm.indent, 9, _xlpm.k, LEN(_xlpm.n) - LEN(SUBSTITUTE(_xlpm.n,"#","")), IF(_xlpm.k&gt;=2, REPT(" ", _xlpm.indent*(_xlpm.k-1)) &amp; _xlpm.n, _xlpm.n))</f>
        <v># The V3 Block and the Sequence-Wise Balance Loss</v>
      </c>
    </row>
    <row r="18" spans="1:54" ht="24" customHeight="1" x14ac:dyDescent="0.3">
      <c r="B18" s="1" t="str">
        <v>A1010</v>
      </c>
      <c r="C18" s="4" t="str">
        <f>HYPERLINK("#"&amp;B18, _xlfn.UNICHAR(128279))</f>
        <v>🔗</v>
      </c>
      <c r="D18" s="1" t="str" cm="1">
        <f t="array" aca="1" ref="D18" ca="1">_xlfn.LET(_xlpm.n, INDIRECT(B18), _xlpm.indent, 9, _xlpm.k, LEN(_xlpm.n) - LEN(SUBSTITUTE(_xlpm.n,"#","")), IF(_xlpm.k&gt;=2, REPT(" ", _xlpm.indent*(_xlpm.k-1)) &amp; _xlpm.n, _xlpm.n))</f>
        <v># Multi-Token Prediction</v>
      </c>
    </row>
    <row r="21" spans="1:54" ht="48" customHeight="1" thickBot="1" x14ac:dyDescent="0.95">
      <c r="A21" s="5" t="s">
        <v>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</row>
    <row r="22" spans="1:54" ht="24" customHeight="1" thickTop="1" x14ac:dyDescent="0.3"/>
    <row r="24" spans="1:54" ht="24" customHeight="1" x14ac:dyDescent="0.3">
      <c r="E24" s="7" t="s">
        <v>4</v>
      </c>
      <c r="F24" s="8">
        <v>6</v>
      </c>
      <c r="N24" s="7" t="s">
        <v>8</v>
      </c>
      <c r="O24" s="8" cm="1">
        <f t="array" ref="O24:T24">_xlfn.SEQUENCE(1,F24,1)</f>
        <v>1</v>
      </c>
      <c r="P24" s="8">
        <v>2</v>
      </c>
      <c r="Q24" s="8">
        <v>3</v>
      </c>
      <c r="R24" s="8">
        <v>4</v>
      </c>
      <c r="S24" s="8">
        <v>5</v>
      </c>
      <c r="T24" s="8">
        <v>6</v>
      </c>
    </row>
    <row r="25" spans="1:54" ht="24" customHeight="1" x14ac:dyDescent="0.3">
      <c r="E25" s="7" t="s">
        <v>5</v>
      </c>
      <c r="F25" s="8">
        <v>8</v>
      </c>
    </row>
    <row r="26" spans="1:54" ht="24" customHeight="1" x14ac:dyDescent="0.3">
      <c r="E26" s="7" t="s">
        <v>6</v>
      </c>
      <c r="F26" s="8">
        <v>4</v>
      </c>
      <c r="O26" s="8" t="str" cm="1">
        <f t="array" ref="O26:T26">"x"&amp;_xlfn.ANCHORARRAY(O24)</f>
        <v>x1</v>
      </c>
      <c r="P26" s="8" t="str">
        <v>x2</v>
      </c>
      <c r="Q26" s="8" t="str">
        <v>x3</v>
      </c>
      <c r="R26" s="8" t="str">
        <v>x4</v>
      </c>
      <c r="S26" s="8" t="str">
        <v>x5</v>
      </c>
      <c r="T26" s="8" t="str">
        <v>x6</v>
      </c>
    </row>
    <row r="27" spans="1:54" ht="24" customHeight="1" x14ac:dyDescent="0.3">
      <c r="E27" s="7" t="s">
        <v>7</v>
      </c>
      <c r="F27" s="8">
        <v>3</v>
      </c>
      <c r="N27" s="7" t="s">
        <v>9</v>
      </c>
      <c r="O27" s="9" cm="1">
        <f t="array" aca="1" ref="O27:T34" ca="1">(_xlfn.RANDARRAY(F25,F24)-0.5)*2</f>
        <v>0.68364470933281307</v>
      </c>
      <c r="P27" s="10">
        <f ca="1"/>
        <v>-0.3480781608297443</v>
      </c>
      <c r="Q27" s="10">
        <f ca="1"/>
        <v>-0.90003075755042783</v>
      </c>
      <c r="R27" s="10">
        <f ca="1"/>
        <v>0.34898693040010498</v>
      </c>
      <c r="S27" s="10">
        <f ca="1"/>
        <v>0.79330304882031788</v>
      </c>
      <c r="T27" s="11">
        <f ca="1"/>
        <v>-0.88264792796852731</v>
      </c>
    </row>
    <row r="28" spans="1:54" ht="24" customHeight="1" x14ac:dyDescent="0.3">
      <c r="O28" s="12">
        <f ca="1"/>
        <v>0.10985457160204737</v>
      </c>
      <c r="P28" s="13">
        <f ca="1"/>
        <v>0.48273613779519131</v>
      </c>
      <c r="Q28" s="13">
        <f ca="1"/>
        <v>0.20394339170146081</v>
      </c>
      <c r="R28" s="13">
        <f ca="1"/>
        <v>0.99250262495507169</v>
      </c>
      <c r="S28" s="13">
        <f ca="1"/>
        <v>-0.50971613053380738</v>
      </c>
      <c r="T28" s="14">
        <f ca="1"/>
        <v>-1.1281295523031698E-2</v>
      </c>
    </row>
    <row r="29" spans="1:54" ht="24" customHeight="1" x14ac:dyDescent="0.3">
      <c r="O29" s="12">
        <f ca="1"/>
        <v>0.70194772723643295</v>
      </c>
      <c r="P29" s="13">
        <f ca="1"/>
        <v>0.66645389049630399</v>
      </c>
      <c r="Q29" s="13">
        <f ca="1"/>
        <v>0.33567735468917759</v>
      </c>
      <c r="R29" s="13">
        <f ca="1"/>
        <v>-0.62703874859186826</v>
      </c>
      <c r="S29" s="13">
        <f ca="1"/>
        <v>-0.37261656723530656</v>
      </c>
      <c r="T29" s="14">
        <f ca="1"/>
        <v>-0.13251730060371214</v>
      </c>
    </row>
    <row r="30" spans="1:54" ht="24" customHeight="1" x14ac:dyDescent="0.3">
      <c r="O30" s="12">
        <f ca="1"/>
        <v>-9.5175868278027043E-2</v>
      </c>
      <c r="P30" s="13">
        <f ca="1"/>
        <v>-0.70118778101228907</v>
      </c>
      <c r="Q30" s="13">
        <f ca="1"/>
        <v>0.93579275513500892</v>
      </c>
      <c r="R30" s="13">
        <f ca="1"/>
        <v>-0.82036502991566618</v>
      </c>
      <c r="S30" s="13">
        <f ca="1"/>
        <v>0.66792696340655944</v>
      </c>
      <c r="T30" s="14">
        <f ca="1"/>
        <v>0.15863998040526894</v>
      </c>
    </row>
    <row r="31" spans="1:54" ht="24" customHeight="1" x14ac:dyDescent="0.3">
      <c r="O31" s="12">
        <f ca="1"/>
        <v>-0.14254260200528668</v>
      </c>
      <c r="P31" s="13">
        <f ca="1"/>
        <v>-0.56874935711063168</v>
      </c>
      <c r="Q31" s="13">
        <f ca="1"/>
        <v>-0.98716646550743992</v>
      </c>
      <c r="R31" s="13">
        <f ca="1"/>
        <v>0.97353982029843333</v>
      </c>
      <c r="S31" s="13">
        <f ca="1"/>
        <v>0.60755188159381168</v>
      </c>
      <c r="T31" s="14">
        <f ca="1"/>
        <v>0.41219445218603612</v>
      </c>
    </row>
    <row r="32" spans="1:54" ht="24" customHeight="1" x14ac:dyDescent="0.3">
      <c r="O32" s="12">
        <f ca="1"/>
        <v>-0.14809832323379402</v>
      </c>
      <c r="P32" s="13">
        <f ca="1"/>
        <v>-0.92053608574109536</v>
      </c>
      <c r="Q32" s="13">
        <f ca="1"/>
        <v>-0.1452423777074463</v>
      </c>
      <c r="R32" s="13">
        <f ca="1"/>
        <v>-0.5838670127912442</v>
      </c>
      <c r="S32" s="13">
        <f ca="1"/>
        <v>0.17087517175170186</v>
      </c>
      <c r="T32" s="14">
        <f ca="1"/>
        <v>-0.94787703425973824</v>
      </c>
    </row>
    <row r="33" spans="4:54" ht="24" customHeight="1" x14ac:dyDescent="0.3">
      <c r="O33" s="12">
        <f ca="1"/>
        <v>-0.6347964625097946</v>
      </c>
      <c r="P33" s="13">
        <f ca="1"/>
        <v>-0.58239121206732403</v>
      </c>
      <c r="Q33" s="13">
        <f ca="1"/>
        <v>-0.61292481695762957</v>
      </c>
      <c r="R33" s="13">
        <f ca="1"/>
        <v>0.95335077806431379</v>
      </c>
      <c r="S33" s="13">
        <f ca="1"/>
        <v>-0.68643781613414578</v>
      </c>
      <c r="T33" s="14">
        <f ca="1"/>
        <v>-0.58581689561447092</v>
      </c>
    </row>
    <row r="34" spans="4:54" ht="24" customHeight="1" x14ac:dyDescent="0.3">
      <c r="O34" s="15">
        <f ca="1"/>
        <v>4.407393290242112E-2</v>
      </c>
      <c r="P34" s="16">
        <f ca="1"/>
        <v>-0.27384454114043288</v>
      </c>
      <c r="Q34" s="16">
        <f ca="1"/>
        <v>0.28084110586594946</v>
      </c>
      <c r="R34" s="16">
        <f ca="1"/>
        <v>0.57805670853014801</v>
      </c>
      <c r="S34" s="16">
        <f ca="1"/>
        <v>0.31113656515548538</v>
      </c>
      <c r="T34" s="17">
        <f ca="1"/>
        <v>-0.70352465593552038</v>
      </c>
    </row>
    <row r="35" spans="4:54" ht="24" customHeight="1" x14ac:dyDescent="0.3">
      <c r="AB35" s="8" t="str" cm="1">
        <f t="array" ref="AB35:AG35">"q"&amp;_xlfn.ANCHORARRAY(O24)</f>
        <v>q1</v>
      </c>
      <c r="AC35" s="8" t="str">
        <v>q2</v>
      </c>
      <c r="AD35" s="8" t="str">
        <v>q3</v>
      </c>
      <c r="AE35" s="8" t="str">
        <v>q4</v>
      </c>
      <c r="AF35" s="8" t="str">
        <v>q5</v>
      </c>
      <c r="AG35" s="8" t="str">
        <v>q6</v>
      </c>
      <c r="AI35" s="8" t="str" cm="1">
        <f t="array" ref="AI35:AN35">"q"&amp;_xlfn.ANCHORARRAY(O24)</f>
        <v>q1</v>
      </c>
      <c r="AJ35" s="8" t="str">
        <v>q2</v>
      </c>
      <c r="AK35" s="8" t="str">
        <v>q3</v>
      </c>
      <c r="AL35" s="8" t="str">
        <v>q4</v>
      </c>
      <c r="AM35" s="8" t="str">
        <v>q5</v>
      </c>
      <c r="AN35" s="8" t="str">
        <v>q6</v>
      </c>
      <c r="AP35" s="8" t="str" cm="1">
        <f t="array" ref="AP35:AU35">"q"&amp;_xlfn.ANCHORARRAY(O24)</f>
        <v>q1</v>
      </c>
      <c r="AQ35" s="8" t="str">
        <v>q2</v>
      </c>
      <c r="AR35" s="8" t="str">
        <v>q3</v>
      </c>
      <c r="AS35" s="8" t="str">
        <v>q4</v>
      </c>
      <c r="AT35" s="8" t="str">
        <v>q5</v>
      </c>
      <c r="AU35" s="8" t="str">
        <v>q6</v>
      </c>
    </row>
    <row r="36" spans="4:54" ht="24" customHeight="1" x14ac:dyDescent="0.3">
      <c r="D36" s="3" t="s">
        <v>10</v>
      </c>
      <c r="V36" s="1" t="s">
        <v>17</v>
      </c>
      <c r="AB36" s="1" t="s">
        <v>18</v>
      </c>
      <c r="AI36" s="1" t="s">
        <v>19</v>
      </c>
      <c r="AP36" s="1" t="s">
        <v>20</v>
      </c>
    </row>
    <row r="37" spans="4:54" ht="24" customHeight="1" x14ac:dyDescent="0.3">
      <c r="O37" s="8" t="str" cm="1">
        <f t="array" ref="O37:T37">"q"&amp;_xlfn.ANCHORARRAY(O24)</f>
        <v>q1</v>
      </c>
      <c r="P37" s="8" t="str">
        <v>q2</v>
      </c>
      <c r="Q37" s="8" t="str">
        <v>q3</v>
      </c>
      <c r="R37" s="8" t="str">
        <v>q4</v>
      </c>
      <c r="S37" s="8" t="str">
        <v>q5</v>
      </c>
      <c r="T37" s="8" t="str">
        <v>q6</v>
      </c>
      <c r="V37" s="7" t="str" cm="1">
        <f t="array" ref="V37:V42">TRANSPOSE("k"&amp;_xlfn.ANCHORARRAY(O24))</f>
        <v>k1</v>
      </c>
      <c r="W37" s="9" cm="1">
        <f t="array" aca="1" ref="W37:Z42" ca="1">TRANSPOSE(_xlfn.ANCHORARRAY(O44))</f>
        <v>1.7190834488227074</v>
      </c>
      <c r="X37" s="10">
        <f ca="1"/>
        <v>0.32551726349613547</v>
      </c>
      <c r="Y37" s="10">
        <f ca="1"/>
        <v>-0.19705589069708962</v>
      </c>
      <c r="Z37" s="11">
        <f ca="1"/>
        <v>0.99022401333645005</v>
      </c>
      <c r="AA37" s="7" t="str" cm="1">
        <f t="array" ref="AA37:AA42">TRANSPOSE("k"&amp;_xlfn.ANCHORARRAY(O24))</f>
        <v>k1</v>
      </c>
      <c r="AB37" s="9" cm="1">
        <f t="array" aca="1" ref="AB37:AG42" ca="1">MMULT(_xlfn.ANCHORARRAY(W37),_xlfn.ANCHORARRAY(O38))</f>
        <v>0.67782252626093487</v>
      </c>
      <c r="AC37" s="10">
        <f ca="1"/>
        <v>0.20981296279958128</v>
      </c>
      <c r="AD37" s="10">
        <f ca="1"/>
        <v>-1.7603353500479355</v>
      </c>
      <c r="AE37" s="10">
        <f ca="1"/>
        <v>1.2624675720631915</v>
      </c>
      <c r="AF37" s="10">
        <f ca="1"/>
        <v>6.9236990285582278E-2</v>
      </c>
      <c r="AG37" s="11">
        <f ca="1"/>
        <v>-0.89789434390189138</v>
      </c>
      <c r="AH37" s="7" t="str" cm="1">
        <f t="array" ref="AH37:AH42">TRANSPOSE("k"&amp;_xlfn.ANCHORARRAY(O24))</f>
        <v>k1</v>
      </c>
      <c r="AI37" s="9" cm="1">
        <f t="array" aca="1" ref="AI37:AN42" ca="1">_xlfn.ANCHORARRAY(AB37)/SQRT(ROWS(_xlfn.ANCHORARRAY(O38)))</f>
        <v>0.33891126313046743</v>
      </c>
      <c r="AJ37" s="10">
        <f ca="1"/>
        <v>0.10490648139979064</v>
      </c>
      <c r="AK37" s="10">
        <f ca="1"/>
        <v>-0.88016767502396775</v>
      </c>
      <c r="AL37" s="10">
        <f ca="1"/>
        <v>0.63123378603159574</v>
      </c>
      <c r="AM37" s="10">
        <f ca="1"/>
        <v>3.4618495142791139E-2</v>
      </c>
      <c r="AN37" s="11">
        <f ca="1"/>
        <v>-0.44894717195094569</v>
      </c>
      <c r="AO37" s="7" t="str" cm="1">
        <f t="array" ref="AO37:AO42">TRANSPOSE("k"&amp;_xlfn.ANCHORARRAY(O24))</f>
        <v>k1</v>
      </c>
      <c r="AP37" s="9" cm="1">
        <f t="array" aca="1" ref="AP37:AP42" ca="1">_xlfn.LET(_xlpm.z,AI37:AI42,EXP(_xlpm.z)/SUM(EXP(_xlpm.z)))</f>
        <v>0.16591083070386195</v>
      </c>
      <c r="AQ37" s="10" cm="1">
        <f t="array" aca="1" ref="AQ37:AQ42" ca="1">_xlfn.LET(_xlpm.z,AJ37:AJ42,EXP(_xlpm.z)/SUM(EXP(_xlpm.z)))</f>
        <v>0.12298283886009655</v>
      </c>
      <c r="AR37" s="10" cm="1">
        <f t="array" aca="1" ref="AR37:AR42" ca="1">_xlfn.LET(_xlpm.z,AK37:AK42,EXP(_xlpm.z)/SUM(EXP(_xlpm.z)))</f>
        <v>2.8166982207368265E-2</v>
      </c>
      <c r="AS37" s="10" cm="1">
        <f t="array" aca="1" ref="AS37:AS42" ca="1">_xlfn.LET(_xlpm.z,AL37:AL42,EXP(_xlpm.z)/SUM(EXP(_xlpm.z)))</f>
        <v>0.15321454124071182</v>
      </c>
      <c r="AT37" s="10" cm="1">
        <f t="array" aca="1" ref="AT37:AT42" ca="1">_xlfn.LET(_xlpm.z,AM37:AM42,EXP(_xlpm.z)/SUM(EXP(_xlpm.z)))</f>
        <v>0.18775824092346025</v>
      </c>
      <c r="AU37" s="11" cm="1">
        <f t="array" aca="1" ref="AU37:AU42" ca="1">_xlfn.LET(_xlpm.z,AN37:AN42,EXP(_xlpm.z)/SUM(EXP(_xlpm.z)))</f>
        <v>0.11314472864416246</v>
      </c>
    </row>
    <row r="38" spans="4:54" ht="24" customHeight="1" x14ac:dyDescent="0.3">
      <c r="D38" s="7" t="s">
        <v>11</v>
      </c>
      <c r="E38" s="18" cm="1">
        <f t="array" aca="1" ref="E38:L41" ca="1">(_xlfn.RANDARRAY(F26,F25)-0.5)*2</f>
        <v>0.14371721164684592</v>
      </c>
      <c r="F38" s="18">
        <f ca="1"/>
        <v>0.61417235316917873</v>
      </c>
      <c r="G38" s="18">
        <f ca="1"/>
        <v>0.64689764427899865</v>
      </c>
      <c r="H38" s="18">
        <f ca="1"/>
        <v>0.16783007766216285</v>
      </c>
      <c r="I38" s="18">
        <f ca="1"/>
        <v>3.5314619382073698E-2</v>
      </c>
      <c r="J38" s="18">
        <f ca="1"/>
        <v>-0.29020778455248486</v>
      </c>
      <c r="K38" s="18">
        <f ca="1"/>
        <v>0.2409612561057437</v>
      </c>
      <c r="L38" s="18">
        <f ca="1"/>
        <v>0.47225280212113852</v>
      </c>
      <c r="N38" s="7" t="s">
        <v>12</v>
      </c>
      <c r="O38" s="9" cm="1">
        <f t="array" aca="1" ref="O38:T41" ca="1">MMULT(_xlfn.ANCHORARRAY(E38),_xlfn.ANCHORARRAY(O27))</f>
        <v>0.50963424380312705</v>
      </c>
      <c r="P38" s="10">
        <f ca="1"/>
        <v>0.53730942010898375</v>
      </c>
      <c r="Q38" s="10">
        <f ca="1"/>
        <v>0.36233546874424805</v>
      </c>
      <c r="R38" s="10">
        <f ca="1"/>
        <v>0.82294372705834429</v>
      </c>
      <c r="S38" s="10">
        <f ca="1"/>
        <v>-0.37459244384639223</v>
      </c>
      <c r="T38" s="11">
        <f ca="1"/>
        <v>-0.3766438090577322</v>
      </c>
      <c r="V38" s="7" t="str">
        <v>k2</v>
      </c>
      <c r="W38" s="12">
        <f ca="1"/>
        <v>1.9353355906894931</v>
      </c>
      <c r="X38" s="13">
        <f ca="1"/>
        <v>-1.1745942917398895</v>
      </c>
      <c r="Y38" s="13">
        <f ca="1"/>
        <v>1.2893769443959515</v>
      </c>
      <c r="Z38" s="14">
        <f ca="1"/>
        <v>-0.83384248387651416</v>
      </c>
      <c r="AA38" s="7" t="str">
        <v>k2</v>
      </c>
      <c r="AB38" s="12">
        <f ca="1"/>
        <v>1.5580077138070592</v>
      </c>
      <c r="AC38" s="13">
        <f ca="1"/>
        <v>0.52016744182061636</v>
      </c>
      <c r="AD38" s="13">
        <f ca="1"/>
        <v>2.0425367269655972</v>
      </c>
      <c r="AE38" s="13">
        <f ca="1"/>
        <v>3.2073439407851643</v>
      </c>
      <c r="AF38" s="13">
        <f ca="1"/>
        <v>0.59179978761219976</v>
      </c>
      <c r="AG38" s="14">
        <f ca="1"/>
        <v>-0.30538415386831835</v>
      </c>
      <c r="AH38" s="7" t="str">
        <v>k2</v>
      </c>
      <c r="AI38" s="12">
        <f ca="1"/>
        <v>0.77900385690352958</v>
      </c>
      <c r="AJ38" s="13">
        <f ca="1"/>
        <v>0.26008372091030818</v>
      </c>
      <c r="AK38" s="13">
        <f ca="1"/>
        <v>1.0212683634827986</v>
      </c>
      <c r="AL38" s="13">
        <f ca="1"/>
        <v>1.6036719703925821</v>
      </c>
      <c r="AM38" s="13">
        <f ca="1"/>
        <v>0.29589989380609988</v>
      </c>
      <c r="AN38" s="14">
        <f ca="1"/>
        <v>-0.15269207693415918</v>
      </c>
      <c r="AO38" s="7" t="str">
        <v>k2</v>
      </c>
      <c r="AP38" s="12">
        <f ca="1"/>
        <v>0.25763479873679018</v>
      </c>
      <c r="AQ38" s="13">
        <f ca="1"/>
        <v>0.14362734505882538</v>
      </c>
      <c r="AR38" s="13">
        <f ca="1"/>
        <v>0.18859210095017162</v>
      </c>
      <c r="AS38" s="13">
        <f ca="1"/>
        <v>0.40515809699201716</v>
      </c>
      <c r="AT38" s="13">
        <f ca="1"/>
        <v>0.24382154418399496</v>
      </c>
      <c r="AU38" s="14">
        <f ca="1"/>
        <v>0.15215852099508426</v>
      </c>
    </row>
    <row r="39" spans="4:54" ht="24" customHeight="1" x14ac:dyDescent="0.3">
      <c r="E39" s="18">
        <f ca="1"/>
        <v>0.71805798030214119</v>
      </c>
      <c r="F39" s="18">
        <f ca="1"/>
        <v>0.28428031410949339</v>
      </c>
      <c r="G39" s="18">
        <f ca="1"/>
        <v>-0.91960501183525167</v>
      </c>
      <c r="H39" s="18">
        <f ca="1"/>
        <v>-0.95593855195586697</v>
      </c>
      <c r="I39" s="18">
        <f ca="1"/>
        <v>-0.98968746056009849</v>
      </c>
      <c r="J39" s="18">
        <f ca="1"/>
        <v>0.10491666772898123</v>
      </c>
      <c r="K39" s="18">
        <f ca="1"/>
        <v>-0.72688748363487266</v>
      </c>
      <c r="L39" s="18">
        <f ca="1"/>
        <v>-0.630869338937881</v>
      </c>
      <c r="O39" s="12">
        <f ca="1"/>
        <v>0.52674901860883172</v>
      </c>
      <c r="P39" s="13">
        <f ca="1"/>
        <v>1.0071077094697298</v>
      </c>
      <c r="Q39" s="13">
        <f ca="1"/>
        <v>-0.56144686436182989</v>
      </c>
      <c r="R39" s="13">
        <f ca="1"/>
        <v>-0.18882619258729416</v>
      </c>
      <c r="S39" s="13">
        <f ca="1"/>
        <v>-0.15178403575284932</v>
      </c>
      <c r="T39" s="14">
        <f ca="1"/>
        <v>-0.30452261482245024</v>
      </c>
      <c r="V39" s="7" t="str">
        <v>k3</v>
      </c>
      <c r="W39" s="12">
        <f ca="1"/>
        <v>2.6279873417410688</v>
      </c>
      <c r="X39" s="13">
        <f ca="1"/>
        <v>0.99165039627314833</v>
      </c>
      <c r="Y39" s="13">
        <f ca="1"/>
        <v>0.10894762827469057</v>
      </c>
      <c r="Z39" s="14">
        <f ca="1"/>
        <v>-0.41002049576111654</v>
      </c>
      <c r="AA39" s="7" t="str">
        <v>k3</v>
      </c>
      <c r="AB39" s="12">
        <f ca="1"/>
        <v>2.0361666769239726</v>
      </c>
      <c r="AC39" s="13">
        <f ca="1"/>
        <v>2.8368660719238146</v>
      </c>
      <c r="AD39" s="13">
        <f ca="1"/>
        <v>1.2780808130748955</v>
      </c>
      <c r="AE39" s="13">
        <f ca="1"/>
        <v>2.0450752662422427</v>
      </c>
      <c r="AF39" s="13">
        <f ca="1"/>
        <v>-1.4073556191657461</v>
      </c>
      <c r="AG39" s="14">
        <f ca="1"/>
        <v>-1.2306511000632085</v>
      </c>
      <c r="AH39" s="7" t="str">
        <v>k3</v>
      </c>
      <c r="AI39" s="12">
        <f ca="1"/>
        <v>1.0180833384619863</v>
      </c>
      <c r="AJ39" s="13">
        <f ca="1"/>
        <v>1.4184330359619073</v>
      </c>
      <c r="AK39" s="13">
        <f ca="1"/>
        <v>0.63904040653744776</v>
      </c>
      <c r="AL39" s="13">
        <f ca="1"/>
        <v>1.0225376331211213</v>
      </c>
      <c r="AM39" s="13">
        <f ca="1"/>
        <v>-0.70367780958287307</v>
      </c>
      <c r="AN39" s="14">
        <f ca="1"/>
        <v>-0.61532555003160427</v>
      </c>
      <c r="AO39" s="7" t="str">
        <v>k3</v>
      </c>
      <c r="AP39" s="12">
        <f ca="1"/>
        <v>0.32721667133027188</v>
      </c>
      <c r="AQ39" s="13">
        <f ca="1"/>
        <v>0.45740599067527393</v>
      </c>
      <c r="AR39" s="13">
        <f ca="1"/>
        <v>0.12868383825367805</v>
      </c>
      <c r="AS39" s="13">
        <f ca="1"/>
        <v>0.22659018118439864</v>
      </c>
      <c r="AT39" s="13">
        <f ca="1"/>
        <v>8.9734820130120588E-2</v>
      </c>
      <c r="AU39" s="14">
        <f ca="1"/>
        <v>9.5802559868804024E-2</v>
      </c>
    </row>
    <row r="40" spans="4:54" ht="24" customHeight="1" x14ac:dyDescent="0.3">
      <c r="E40" s="18">
        <f ca="1"/>
        <v>0.95560198401791707</v>
      </c>
      <c r="F40" s="18">
        <f ca="1"/>
        <v>-0.20243885035595444</v>
      </c>
      <c r="G40" s="18">
        <f ca="1"/>
        <v>-0.14204515159150155</v>
      </c>
      <c r="H40" s="18">
        <f ca="1"/>
        <v>5.0453274411841331E-2</v>
      </c>
      <c r="I40" s="18">
        <f ca="1"/>
        <v>0.60487539488658726</v>
      </c>
      <c r="J40" s="18">
        <f ca="1"/>
        <v>-0.71916642044187018</v>
      </c>
      <c r="K40" s="18">
        <f ca="1"/>
        <v>-0.33492004129720909</v>
      </c>
      <c r="L40" s="18">
        <f ca="1"/>
        <v>0.52256118040594846</v>
      </c>
      <c r="O40" s="12">
        <f ca="1"/>
        <v>0.78246741405520392</v>
      </c>
      <c r="P40" s="13">
        <f ca="1"/>
        <v>-0.19044238144982212</v>
      </c>
      <c r="Q40" s="13">
        <f ca="1"/>
        <v>-1.0424465753862173</v>
      </c>
      <c r="R40" s="13">
        <f ca="1"/>
        <v>1.1717907716758189</v>
      </c>
      <c r="S40" s="13">
        <f ca="1"/>
        <v>1.5849909651683727</v>
      </c>
      <c r="T40" s="14">
        <f ca="1"/>
        <v>-5.4774232137824952E-2</v>
      </c>
      <c r="V40" s="7" t="str">
        <v>k4</v>
      </c>
      <c r="W40" s="12">
        <f ca="1"/>
        <v>-0.95528336691818383</v>
      </c>
      <c r="X40" s="13">
        <f ca="1"/>
        <v>-1.6643579246856006</v>
      </c>
      <c r="Y40" s="13">
        <f ca="1"/>
        <v>0.26451347656086888</v>
      </c>
      <c r="Z40" s="14">
        <f ca="1"/>
        <v>-0.10791585473817783</v>
      </c>
      <c r="AA40" s="7" t="str">
        <v>k4</v>
      </c>
      <c r="AB40" s="12">
        <f ca="1"/>
        <v>-1.1330791331185888</v>
      </c>
      <c r="AC40" s="13">
        <f ca="1"/>
        <v>-2.1222296764669908</v>
      </c>
      <c r="AD40" s="13">
        <f ca="1"/>
        <v>0.57477012662581173</v>
      </c>
      <c r="AE40" s="13">
        <f ca="1"/>
        <v>-0.17718751354716672</v>
      </c>
      <c r="AF40" s="13">
        <f ca="1"/>
        <v>0.91256884069554622</v>
      </c>
      <c r="AG40" s="14">
        <f ca="1"/>
        <v>0.86981118043692884</v>
      </c>
      <c r="AH40" s="7" t="str">
        <v>k4</v>
      </c>
      <c r="AI40" s="12">
        <f ca="1"/>
        <v>-0.56653956655929438</v>
      </c>
      <c r="AJ40" s="13">
        <f ca="1"/>
        <v>-1.0611148382334954</v>
      </c>
      <c r="AK40" s="13">
        <f ca="1"/>
        <v>0.28738506331290586</v>
      </c>
      <c r="AL40" s="13">
        <f ca="1"/>
        <v>-8.859375677358336E-2</v>
      </c>
      <c r="AM40" s="13">
        <f ca="1"/>
        <v>0.45628442034777311</v>
      </c>
      <c r="AN40" s="14">
        <f ca="1"/>
        <v>0.43490559021846442</v>
      </c>
      <c r="AO40" s="7" t="str">
        <v>k4</v>
      </c>
      <c r="AP40" s="12">
        <f ca="1"/>
        <v>6.7087628298577451E-2</v>
      </c>
      <c r="AQ40" s="13">
        <f ca="1"/>
        <v>3.8321975502093347E-2</v>
      </c>
      <c r="AR40" s="13">
        <f ca="1"/>
        <v>9.0531982548159168E-2</v>
      </c>
      <c r="AS40" s="13">
        <f ca="1"/>
        <v>7.4590386134391312E-2</v>
      </c>
      <c r="AT40" s="13">
        <f ca="1"/>
        <v>0.28623727735338234</v>
      </c>
      <c r="AU40" s="14">
        <f ca="1"/>
        <v>0.27383357896999377</v>
      </c>
    </row>
    <row r="41" spans="4:54" ht="24" customHeight="1" x14ac:dyDescent="0.3">
      <c r="E41" s="18">
        <f ca="1"/>
        <v>0.82771597538231045</v>
      </c>
      <c r="F41" s="18">
        <f ca="1"/>
        <v>-0.8080923550477479</v>
      </c>
      <c r="G41" s="18">
        <f ca="1"/>
        <v>-0.98096361251996944</v>
      </c>
      <c r="H41" s="18">
        <f ca="1"/>
        <v>-0.6412507793745994</v>
      </c>
      <c r="I41" s="18">
        <f ca="1"/>
        <v>0.36340123648066047</v>
      </c>
      <c r="J41" s="18">
        <f ca="1"/>
        <v>0.34627617146141354</v>
      </c>
      <c r="K41" s="18">
        <f ca="1"/>
        <v>-0.1194522132294078</v>
      </c>
      <c r="L41" s="18">
        <f ca="1"/>
        <v>-0.90683163425157653</v>
      </c>
      <c r="O41" s="15">
        <f ca="1"/>
        <v>-0.21768544307133675</v>
      </c>
      <c r="P41" s="16">
        <f ca="1"/>
        <v>-1.0898801608592441</v>
      </c>
      <c r="Q41" s="16">
        <f ca="1"/>
        <v>-2.4296318978496161</v>
      </c>
      <c r="R41" s="16">
        <f ca="1"/>
        <v>0.14151655523195827</v>
      </c>
      <c r="S41" s="16">
        <f ca="1"/>
        <v>1.0855450649826781</v>
      </c>
      <c r="T41" s="17">
        <f ca="1"/>
        <v>-0.16367854174185803</v>
      </c>
      <c r="V41" s="7" t="str">
        <v>k5</v>
      </c>
      <c r="W41" s="12">
        <f ca="1"/>
        <v>0.36748015673197076</v>
      </c>
      <c r="X41" s="13">
        <f ca="1"/>
        <v>1.4474147539948536</v>
      </c>
      <c r="Y41" s="13">
        <f ca="1"/>
        <v>-2.1178091716456793</v>
      </c>
      <c r="Z41" s="14">
        <f ca="1"/>
        <v>1.7479551022628848</v>
      </c>
      <c r="AA41" s="7" t="str">
        <v>k5</v>
      </c>
      <c r="AB41" s="12">
        <f ca="1"/>
        <v>-1.0879162739294026</v>
      </c>
      <c r="AC41" s="13">
        <f ca="1"/>
        <v>0.15341214153913185</v>
      </c>
      <c r="AD41" s="13">
        <f ca="1"/>
        <v>-2.7186799343811039</v>
      </c>
      <c r="AE41" s="13">
        <f ca="1"/>
        <v>-2.2051589860229792</v>
      </c>
      <c r="AF41" s="13">
        <f ca="1"/>
        <v>-1.8165741106811908</v>
      </c>
      <c r="AG41" s="14">
        <f ca="1"/>
        <v>-0.74928102258106244</v>
      </c>
      <c r="AH41" s="7" t="str">
        <v>k5</v>
      </c>
      <c r="AI41" s="12">
        <f ca="1"/>
        <v>-0.5439581369647013</v>
      </c>
      <c r="AJ41" s="13">
        <f ca="1"/>
        <v>7.6706070769565926E-2</v>
      </c>
      <c r="AK41" s="13">
        <f ca="1"/>
        <v>-1.3593399671905519</v>
      </c>
      <c r="AL41" s="13">
        <f ca="1"/>
        <v>-1.1025794930114896</v>
      </c>
      <c r="AM41" s="13">
        <f ca="1"/>
        <v>-0.9082870553405954</v>
      </c>
      <c r="AN41" s="14">
        <f ca="1"/>
        <v>-0.37464051129053122</v>
      </c>
      <c r="AO41" s="7" t="str">
        <v>k5</v>
      </c>
      <c r="AP41" s="12">
        <f ca="1"/>
        <v>6.8619797027281063E-2</v>
      </c>
      <c r="AQ41" s="13">
        <f ca="1"/>
        <v>0.11956311770272768</v>
      </c>
      <c r="AR41" s="13">
        <f ca="1"/>
        <v>1.7443693094945898E-2</v>
      </c>
      <c r="AS41" s="13">
        <f ca="1"/>
        <v>2.705916839758719E-2</v>
      </c>
      <c r="AT41" s="13">
        <f ca="1"/>
        <v>7.313080099599123E-2</v>
      </c>
      <c r="AU41" s="14">
        <f ca="1"/>
        <v>0.12187238154516815</v>
      </c>
    </row>
    <row r="42" spans="4:54" ht="24" customHeight="1" x14ac:dyDescent="0.3">
      <c r="V42" s="7" t="str">
        <v>k6</v>
      </c>
      <c r="W42" s="15">
        <f ca="1"/>
        <v>0.14676638813058118</v>
      </c>
      <c r="X42" s="16">
        <f ca="1"/>
        <v>-1.515409888243195</v>
      </c>
      <c r="Y42" s="16">
        <f ca="1"/>
        <v>0.39939651986647812</v>
      </c>
      <c r="Z42" s="17">
        <f ca="1"/>
        <v>-1.5158999980855103</v>
      </c>
      <c r="AA42" s="7" t="str">
        <v>k6</v>
      </c>
      <c r="AB42" s="15">
        <f ca="1"/>
        <v>-8.0939369373923542E-2</v>
      </c>
      <c r="AC42" s="16">
        <f ca="1"/>
        <v>0.12876529081536958</v>
      </c>
      <c r="AD42" s="16">
        <f ca="1"/>
        <v>4.1707302529589914</v>
      </c>
      <c r="AE42" s="16">
        <f ca="1"/>
        <v>0.66041376827495479</v>
      </c>
      <c r="AF42" s="16">
        <f ca="1"/>
        <v>-0.83750043776793459</v>
      </c>
      <c r="AG42" s="17">
        <f ca="1"/>
        <v>0.63244159364738306</v>
      </c>
      <c r="AH42" s="7" t="str">
        <v>k6</v>
      </c>
      <c r="AI42" s="15">
        <f ca="1"/>
        <v>-4.0469684686961771E-2</v>
      </c>
      <c r="AJ42" s="16">
        <f ca="1"/>
        <v>6.4382645407684791E-2</v>
      </c>
      <c r="AK42" s="16">
        <f ca="1"/>
        <v>2.0853651264794957</v>
      </c>
      <c r="AL42" s="16">
        <f ca="1"/>
        <v>0.3302068841374774</v>
      </c>
      <c r="AM42" s="16">
        <f ca="1"/>
        <v>-0.4187502188839673</v>
      </c>
      <c r="AN42" s="17">
        <f ca="1"/>
        <v>0.31622079682369153</v>
      </c>
      <c r="AO42" s="7" t="str">
        <v>k6</v>
      </c>
      <c r="AP42" s="15">
        <f ca="1"/>
        <v>0.11353027390321759</v>
      </c>
      <c r="AQ42" s="16">
        <f ca="1"/>
        <v>0.11809873220098316</v>
      </c>
      <c r="AR42" s="16">
        <f ca="1"/>
        <v>0.54658140294567703</v>
      </c>
      <c r="AS42" s="16">
        <f ca="1"/>
        <v>0.11338762605089389</v>
      </c>
      <c r="AT42" s="16">
        <f ca="1"/>
        <v>0.11931731641305061</v>
      </c>
      <c r="AU42" s="17">
        <f ca="1"/>
        <v>0.24318822997678727</v>
      </c>
    </row>
    <row r="43" spans="4:54" ht="24" customHeight="1" x14ac:dyDescent="0.3">
      <c r="O43" s="8" t="str" cm="1">
        <f t="array" ref="O43:T43">"k"&amp;_xlfn.ANCHORARRAY(O24)</f>
        <v>k1</v>
      </c>
      <c r="P43" s="8" t="str">
        <v>k2</v>
      </c>
      <c r="Q43" s="8" t="str">
        <v>k3</v>
      </c>
      <c r="R43" s="8" t="str">
        <v>k4</v>
      </c>
      <c r="S43" s="8" t="str">
        <v>k5</v>
      </c>
      <c r="T43" s="8" t="str">
        <v>k6</v>
      </c>
      <c r="AW43" s="1" t="s">
        <v>21</v>
      </c>
    </row>
    <row r="44" spans="4:54" ht="24" customHeight="1" x14ac:dyDescent="0.3">
      <c r="D44" s="7" t="s">
        <v>13</v>
      </c>
      <c r="E44" s="18" cm="1">
        <f t="array" aca="1" ref="E44:L47" ca="1">(_xlfn.RANDARRAY(F26,F25)-0.5)*2</f>
        <v>0.42770965394276539</v>
      </c>
      <c r="F44" s="18">
        <f ca="1"/>
        <v>0.78029077806146363</v>
      </c>
      <c r="G44" s="18">
        <f ca="1"/>
        <v>0.66787841240209556</v>
      </c>
      <c r="H44" s="18">
        <f ca="1"/>
        <v>0.74205234311630086</v>
      </c>
      <c r="I44" s="18">
        <f ca="1"/>
        <v>-0.97257937346938705</v>
      </c>
      <c r="J44" s="18">
        <f ca="1"/>
        <v>-0.9571448116992034</v>
      </c>
      <c r="K44" s="18">
        <f ca="1"/>
        <v>-0.98620291210707611</v>
      </c>
      <c r="L44" s="18">
        <f ca="1"/>
        <v>0.82474109890714375</v>
      </c>
      <c r="N44" s="7" t="s">
        <v>14</v>
      </c>
      <c r="O44" s="9" cm="1">
        <f t="array" aca="1" ref="O44:T47" ca="1">MMULT(_xlfn.ANCHORARRAY(E44),_xlfn.ANCHORARRAY(O27))</f>
        <v>1.7190834488227074</v>
      </c>
      <c r="P44" s="10">
        <f ca="1"/>
        <v>1.9353355906894931</v>
      </c>
      <c r="Q44" s="10">
        <f ca="1"/>
        <v>2.6279873417410688</v>
      </c>
      <c r="R44" s="10">
        <f ca="1"/>
        <v>-0.95528336691818383</v>
      </c>
      <c r="S44" s="10">
        <f ca="1"/>
        <v>0.36748015673197076</v>
      </c>
      <c r="T44" s="11">
        <f ca="1"/>
        <v>0.14676638813058118</v>
      </c>
      <c r="AW44" s="8" t="str" cm="1">
        <f t="array" ref="AW44:BB44">"o"&amp;_xlfn.ANCHORARRAY(O24)</f>
        <v>o1</v>
      </c>
      <c r="AX44" s="8" t="str">
        <v>o2</v>
      </c>
      <c r="AY44" s="8" t="str">
        <v>o3</v>
      </c>
      <c r="AZ44" s="8" t="str">
        <v>o4</v>
      </c>
      <c r="BA44" s="8" t="str">
        <v>o5</v>
      </c>
      <c r="BB44" s="8" t="str">
        <v>o6</v>
      </c>
    </row>
    <row r="45" spans="4:54" ht="24" customHeight="1" x14ac:dyDescent="0.3">
      <c r="E45" s="18">
        <f ca="1"/>
        <v>0.55474856536364348</v>
      </c>
      <c r="F45" s="18">
        <f ca="1"/>
        <v>-0.66270579273496466</v>
      </c>
      <c r="G45" s="18">
        <f ca="1"/>
        <v>-0.36688723127231704</v>
      </c>
      <c r="H45" s="18">
        <f ca="1"/>
        <v>0.58320651543107793</v>
      </c>
      <c r="I45" s="18">
        <f ca="1"/>
        <v>-0.79856409820910779</v>
      </c>
      <c r="J45" s="18">
        <f ca="1"/>
        <v>0.49893191540031934</v>
      </c>
      <c r="K45" s="18">
        <f ca="1"/>
        <v>-0.40037332943697157</v>
      </c>
      <c r="L45" s="18">
        <f ca="1"/>
        <v>0.86256086779964747</v>
      </c>
      <c r="O45" s="12">
        <f ca="1"/>
        <v>0.32551726349613547</v>
      </c>
      <c r="P45" s="13">
        <f ca="1"/>
        <v>-1.1745942917398895</v>
      </c>
      <c r="Q45" s="13">
        <f ca="1"/>
        <v>0.99165039627314833</v>
      </c>
      <c r="R45" s="13">
        <f ca="1"/>
        <v>-1.6643579246856006</v>
      </c>
      <c r="S45" s="13">
        <f ca="1"/>
        <v>1.4474147539948536</v>
      </c>
      <c r="T45" s="14">
        <f ca="1"/>
        <v>-1.515409888243195</v>
      </c>
      <c r="AW45" s="9" cm="1">
        <f t="array" aca="1" ref="AW45:BB47" ca="1">MMULT(_xlfn.ANCHORARRAY(O50),AP37:AU42)</f>
        <v>0.54544741896977234</v>
      </c>
      <c r="AX45" s="10">
        <f ca="1"/>
        <v>0.48923179832941671</v>
      </c>
      <c r="AY45" s="10">
        <f ca="1"/>
        <v>0.23888972254002172</v>
      </c>
      <c r="AZ45" s="10">
        <f ca="1"/>
        <v>0.64829299610304325</v>
      </c>
      <c r="BA45" s="10">
        <f ca="1"/>
        <v>0.34138266454382543</v>
      </c>
      <c r="BB45" s="11">
        <f ca="1"/>
        <v>0.14471030635887933</v>
      </c>
    </row>
    <row r="46" spans="4:54" ht="24" customHeight="1" x14ac:dyDescent="0.3">
      <c r="E46" s="18">
        <f ca="1"/>
        <v>-0.25286812323981245</v>
      </c>
      <c r="F46" s="18">
        <f ca="1"/>
        <v>0.44323692523205294</v>
      </c>
      <c r="G46" s="18">
        <f ca="1"/>
        <v>0.52728822260790897</v>
      </c>
      <c r="H46" s="18">
        <f ca="1"/>
        <v>-0.2371784397029657</v>
      </c>
      <c r="I46" s="18">
        <f ca="1"/>
        <v>-0.58532581247765769</v>
      </c>
      <c r="J46" s="18">
        <f ca="1"/>
        <v>-0.45847223806065296</v>
      </c>
      <c r="K46" s="18">
        <f ca="1"/>
        <v>0.90981057196408521</v>
      </c>
      <c r="L46" s="18">
        <f ca="1"/>
        <v>-0.89318721581667981</v>
      </c>
      <c r="O46" s="12">
        <f ca="1"/>
        <v>-0.19705589069708962</v>
      </c>
      <c r="P46" s="13">
        <f ca="1"/>
        <v>1.2893769443959515</v>
      </c>
      <c r="Q46" s="13">
        <f ca="1"/>
        <v>0.10894762827469057</v>
      </c>
      <c r="R46" s="13">
        <f ca="1"/>
        <v>0.26451347656086888</v>
      </c>
      <c r="S46" s="13">
        <f ca="1"/>
        <v>-2.1178091716456793</v>
      </c>
      <c r="T46" s="14">
        <f ca="1"/>
        <v>0.39939651986647812</v>
      </c>
      <c r="AW46" s="12">
        <f ca="1"/>
        <v>-0.63548035376101297</v>
      </c>
      <c r="AX46" s="13">
        <f ca="1"/>
        <v>-0.3912589569191291</v>
      </c>
      <c r="AY46" s="13">
        <f ca="1"/>
        <v>-1.334124254528857</v>
      </c>
      <c r="AZ46" s="13">
        <f ca="1"/>
        <v>-0.91586324721957235</v>
      </c>
      <c r="BA46" s="13">
        <f ca="1"/>
        <v>-0.75870552817259629</v>
      </c>
      <c r="BB46" s="14">
        <f ca="1"/>
        <v>-0.78519772733827509</v>
      </c>
    </row>
    <row r="47" spans="4:54" ht="24" customHeight="1" x14ac:dyDescent="0.3">
      <c r="E47" s="18">
        <f ca="1"/>
        <v>0.99766591890930867</v>
      </c>
      <c r="F47" s="18">
        <f ca="1"/>
        <v>0.17708040578173501</v>
      </c>
      <c r="G47" s="18">
        <f ca="1"/>
        <v>-0.22228749118183888</v>
      </c>
      <c r="H47" s="18">
        <f ca="1"/>
        <v>-8.8417072071145242E-4</v>
      </c>
      <c r="I47" s="18">
        <f ca="1"/>
        <v>7.4539093583880778E-2</v>
      </c>
      <c r="J47" s="18">
        <f ca="1"/>
        <v>0.74556301241215328</v>
      </c>
      <c r="K47" s="18">
        <f ca="1"/>
        <v>-0.84371225740173905</v>
      </c>
      <c r="L47" s="18">
        <f ca="1"/>
        <v>0.68357896796201922</v>
      </c>
      <c r="O47" s="15">
        <f ca="1"/>
        <v>0.99022401333645005</v>
      </c>
      <c r="P47" s="16">
        <f ca="1"/>
        <v>-0.83384248387651416</v>
      </c>
      <c r="Q47" s="16">
        <f ca="1"/>
        <v>-0.41002049576111654</v>
      </c>
      <c r="R47" s="16">
        <f ca="1"/>
        <v>-0.10791585473817783</v>
      </c>
      <c r="S47" s="16">
        <f ca="1"/>
        <v>1.7479551022628848</v>
      </c>
      <c r="T47" s="17">
        <f ca="1"/>
        <v>-1.5158999980855103</v>
      </c>
      <c r="AW47" s="15">
        <f ca="1"/>
        <v>-0.22906085290844796</v>
      </c>
      <c r="AX47" s="16">
        <f ca="1"/>
        <v>-0.29865994204885993</v>
      </c>
      <c r="AY47" s="16">
        <f ca="1"/>
        <v>-0.71791790130745081</v>
      </c>
      <c r="AZ47" s="16">
        <f ca="1"/>
        <v>-0.26827393086856433</v>
      </c>
      <c r="BA47" s="16">
        <f ca="1"/>
        <v>0.26547191091659561</v>
      </c>
      <c r="BB47" s="17">
        <f ca="1"/>
        <v>0.13302608163200941</v>
      </c>
    </row>
    <row r="49" spans="1:68" ht="24" customHeight="1" x14ac:dyDescent="0.3">
      <c r="O49" s="8" t="str" cm="1">
        <f t="array" ref="O49:T49">"v"&amp;_xlfn.ANCHORARRAY(O24)</f>
        <v>v1</v>
      </c>
      <c r="P49" s="8" t="str">
        <v>v2</v>
      </c>
      <c r="Q49" s="8" t="str">
        <v>v3</v>
      </c>
      <c r="R49" s="8" t="str">
        <v>v4</v>
      </c>
      <c r="S49" s="8" t="str">
        <v>v5</v>
      </c>
      <c r="T49" s="8" t="str">
        <v>v6</v>
      </c>
    </row>
    <row r="50" spans="1:68" ht="24" customHeight="1" x14ac:dyDescent="0.3">
      <c r="D50" s="7" t="s">
        <v>15</v>
      </c>
      <c r="E50" s="18" cm="1">
        <f t="array" aca="1" ref="E50:L52" ca="1">(_xlfn.RANDARRAY(F27,F25)-0.5)*2</f>
        <v>-0.39867999973944768</v>
      </c>
      <c r="F50" s="18">
        <f ca="1"/>
        <v>0.39763509671376429</v>
      </c>
      <c r="G50" s="18">
        <f ca="1"/>
        <v>0.76588143400562103</v>
      </c>
      <c r="H50" s="18">
        <f ca="1"/>
        <v>0.18989065960547391</v>
      </c>
      <c r="I50" s="18">
        <f ca="1"/>
        <v>-0.6449708071503184</v>
      </c>
      <c r="J50" s="18">
        <f ca="1"/>
        <v>-0.64936582061451276</v>
      </c>
      <c r="K50" s="18">
        <f ca="1"/>
        <v>0.87517011656595844</v>
      </c>
      <c r="L50" s="18">
        <f ca="1"/>
        <v>0.48421113717558084</v>
      </c>
      <c r="N50" s="7" t="s">
        <v>16</v>
      </c>
      <c r="O50" s="9" cm="1">
        <f t="array" aca="1" ref="O50:T52" ca="1">MMULT(_xlfn.ANCHORARRAY(E50),_xlfn.ANCHORARRAY(O27))</f>
        <v>-5.5445714461134915E-2</v>
      </c>
      <c r="P50" s="10">
        <f ca="1"/>
        <v>1.0303017240340648</v>
      </c>
      <c r="Q50" s="10">
        <f ca="1"/>
        <v>1.2052885653402954</v>
      </c>
      <c r="R50" s="10">
        <f ca="1"/>
        <v>0.48498690130133293</v>
      </c>
      <c r="S50" s="10">
        <f ca="1"/>
        <v>-1.6304098984722448</v>
      </c>
      <c r="T50" s="11">
        <f ca="1"/>
        <v>-0.22763840788021733</v>
      </c>
    </row>
    <row r="51" spans="1:68" ht="24" customHeight="1" x14ac:dyDescent="0.3">
      <c r="E51" s="18">
        <f ca="1"/>
        <v>0.10017361128736768</v>
      </c>
      <c r="F51" s="18">
        <f ca="1"/>
        <v>-0.64892378516892357</v>
      </c>
      <c r="G51" s="18">
        <f ca="1"/>
        <v>0.60637273661169688</v>
      </c>
      <c r="H51" s="18">
        <f ca="1"/>
        <v>0.53539088621635322</v>
      </c>
      <c r="I51" s="18">
        <f ca="1"/>
        <v>6.074841171122225E-2</v>
      </c>
      <c r="J51" s="18">
        <f ca="1"/>
        <v>0.68120437062161088</v>
      </c>
      <c r="K51" s="18">
        <f ca="1"/>
        <v>0.7721033236631194</v>
      </c>
      <c r="L51" s="18">
        <f ca="1"/>
        <v>0.93780046804790729</v>
      </c>
      <c r="O51" s="12">
        <f ca="1"/>
        <v>-0.18645877858220666</v>
      </c>
      <c r="P51" s="13">
        <f ca="1"/>
        <v>-1.6875188406221846</v>
      </c>
      <c r="Q51" s="13">
        <f ca="1"/>
        <v>0.11328055454303426</v>
      </c>
      <c r="R51" s="13">
        <f ca="1"/>
        <v>-0.48893904837468227</v>
      </c>
      <c r="S51" s="13">
        <f ca="1"/>
        <v>0.45698425608934345</v>
      </c>
      <c r="T51" s="14">
        <f ca="1"/>
        <v>-1.8092525520090734</v>
      </c>
    </row>
    <row r="52" spans="1:68" ht="24" customHeight="1" x14ac:dyDescent="0.3">
      <c r="E52" s="18">
        <f ca="1"/>
        <v>0.95926408748526315</v>
      </c>
      <c r="F52" s="18">
        <f ca="1"/>
        <v>0.22337383206066352</v>
      </c>
      <c r="G52" s="18">
        <f ca="1"/>
        <v>3.6906263428956088E-2</v>
      </c>
      <c r="H52" s="18">
        <f ca="1"/>
        <v>-9.3518545066007874E-2</v>
      </c>
      <c r="I52" s="18">
        <f ca="1"/>
        <v>0.37212763753991895</v>
      </c>
      <c r="J52" s="18">
        <f ca="1"/>
        <v>3.6857269468931086E-2</v>
      </c>
      <c r="K52" s="18">
        <f ca="1"/>
        <v>-0.26227607423059407</v>
      </c>
      <c r="L52" s="18">
        <f ca="1"/>
        <v>0.9094578192977405</v>
      </c>
      <c r="O52" s="15">
        <f ca="1"/>
        <v>0.86321419683940381</v>
      </c>
      <c r="P52" s="16">
        <f ca="1"/>
        <v>-0.47777645403089097</v>
      </c>
      <c r="Q52" s="16">
        <f ca="1"/>
        <v>-0.8494734541079425</v>
      </c>
      <c r="R52" s="16">
        <f ca="1"/>
        <v>1.2264858544751662</v>
      </c>
      <c r="S52" s="16">
        <f ca="1"/>
        <v>1.2663010731693352</v>
      </c>
      <c r="T52" s="17">
        <f ca="1"/>
        <v>-1.2366663593525176</v>
      </c>
    </row>
    <row r="60" spans="1:68" ht="48" customHeight="1" thickBot="1" x14ac:dyDescent="0.95">
      <c r="A60" s="5" t="s">
        <v>22</v>
      </c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</row>
    <row r="61" spans="1:68" ht="24" customHeight="1" thickTop="1" x14ac:dyDescent="0.3"/>
    <row r="63" spans="1:68" ht="24" customHeight="1" x14ac:dyDescent="0.3">
      <c r="E63" s="7" t="s">
        <v>4</v>
      </c>
      <c r="F63" s="8">
        <v>6</v>
      </c>
      <c r="N63" s="7" t="s">
        <v>8</v>
      </c>
      <c r="O63" s="8" cm="1">
        <f t="array" ref="O63:T63">_xlfn.SEQUENCE(1,F63,1)</f>
        <v>1</v>
      </c>
      <c r="P63" s="8">
        <v>2</v>
      </c>
      <c r="Q63" s="8">
        <v>3</v>
      </c>
      <c r="R63" s="8">
        <v>4</v>
      </c>
      <c r="S63" s="8">
        <v>5</v>
      </c>
      <c r="T63" s="8">
        <v>6</v>
      </c>
    </row>
    <row r="64" spans="1:68" ht="24" customHeight="1" x14ac:dyDescent="0.3">
      <c r="E64" s="7" t="s">
        <v>5</v>
      </c>
      <c r="F64" s="8">
        <v>8</v>
      </c>
    </row>
    <row r="65" spans="4:68" ht="24" customHeight="1" x14ac:dyDescent="0.3">
      <c r="E65" s="7" t="s">
        <v>6</v>
      </c>
      <c r="F65" s="8">
        <v>4</v>
      </c>
      <c r="O65" s="8" t="str" cm="1">
        <f t="array" ref="O65:T65">"x"&amp;_xlfn.ANCHORARRAY(O63)</f>
        <v>x1</v>
      </c>
      <c r="P65" s="8" t="str">
        <v>x2</v>
      </c>
      <c r="Q65" s="8" t="str">
        <v>x3</v>
      </c>
      <c r="R65" s="8" t="str">
        <v>x4</v>
      </c>
      <c r="S65" s="8" t="str">
        <v>x5</v>
      </c>
      <c r="T65" s="8" t="str">
        <v>x6</v>
      </c>
    </row>
    <row r="66" spans="4:68" ht="24" customHeight="1" x14ac:dyDescent="0.3">
      <c r="E66" s="7" t="s">
        <v>7</v>
      </c>
      <c r="F66" s="8">
        <v>3</v>
      </c>
      <c r="N66" s="7" t="s">
        <v>9</v>
      </c>
      <c r="O66" s="9" cm="1">
        <f t="array" aca="1" ref="O66:T73" ca="1">(_xlfn.RANDARRAY(F64,F63)-0.5)*2</f>
        <v>-0.86019362028982238</v>
      </c>
      <c r="P66" s="10">
        <f ca="1"/>
        <v>0.93536526182589297</v>
      </c>
      <c r="Q66" s="10">
        <f ca="1"/>
        <v>0.3213357542777846</v>
      </c>
      <c r="R66" s="10">
        <f ca="1"/>
        <v>-0.9831576626173808</v>
      </c>
      <c r="S66" s="10">
        <f ca="1"/>
        <v>-0.81978692399919373</v>
      </c>
      <c r="T66" s="11">
        <f ca="1"/>
        <v>-0.35331688445536935</v>
      </c>
    </row>
    <row r="67" spans="4:68" ht="24" customHeight="1" x14ac:dyDescent="0.3">
      <c r="O67" s="12">
        <f ca="1"/>
        <v>-0.70657670954523732</v>
      </c>
      <c r="P67" s="13">
        <f ca="1"/>
        <v>0.6084589340067903</v>
      </c>
      <c r="Q67" s="13">
        <f ca="1"/>
        <v>-0.38841993297521338</v>
      </c>
      <c r="R67" s="13">
        <f ca="1"/>
        <v>0.37807364018977552</v>
      </c>
      <c r="S67" s="13">
        <f ca="1"/>
        <v>0.76323028346936406</v>
      </c>
      <c r="T67" s="14">
        <f ca="1"/>
        <v>-0.38953069022417219</v>
      </c>
    </row>
    <row r="68" spans="4:68" ht="24" customHeight="1" x14ac:dyDescent="0.3">
      <c r="O68" s="12">
        <f ca="1"/>
        <v>0.20940357660657893</v>
      </c>
      <c r="P68" s="13">
        <f ca="1"/>
        <v>0.62833277227883899</v>
      </c>
      <c r="Q68" s="13">
        <f ca="1"/>
        <v>-0.38410748750697454</v>
      </c>
      <c r="R68" s="13">
        <f ca="1"/>
        <v>-2.3573402216053641E-2</v>
      </c>
      <c r="S68" s="13">
        <f ca="1"/>
        <v>0.22626865560464671</v>
      </c>
      <c r="T68" s="14">
        <f ca="1"/>
        <v>-2.2906836865595359E-2</v>
      </c>
    </row>
    <row r="69" spans="4:68" ht="24" customHeight="1" x14ac:dyDescent="0.3">
      <c r="O69" s="12">
        <f ca="1"/>
        <v>0.73683522517639677</v>
      </c>
      <c r="P69" s="13">
        <f ca="1"/>
        <v>-0.79550039983032583</v>
      </c>
      <c r="Q69" s="13">
        <f ca="1"/>
        <v>0.15041647402058445</v>
      </c>
      <c r="R69" s="13">
        <f ca="1"/>
        <v>-0.31760105822198081</v>
      </c>
      <c r="S69" s="13">
        <f ca="1"/>
        <v>0.98943542420180597</v>
      </c>
      <c r="T69" s="14">
        <f ca="1"/>
        <v>0.17992245955140485</v>
      </c>
    </row>
    <row r="70" spans="4:68" ht="24" customHeight="1" x14ac:dyDescent="0.3">
      <c r="O70" s="12">
        <f ca="1"/>
        <v>-0.70140678231841447</v>
      </c>
      <c r="P70" s="13">
        <f ca="1"/>
        <v>2.143165132171676E-2</v>
      </c>
      <c r="Q70" s="13">
        <f ca="1"/>
        <v>-0.77782439948977178</v>
      </c>
      <c r="R70" s="13">
        <f ca="1"/>
        <v>0.37507160093545266</v>
      </c>
      <c r="S70" s="13">
        <f ca="1"/>
        <v>-0.13942360318109959</v>
      </c>
      <c r="T70" s="14">
        <f ca="1"/>
        <v>-0.14304243535737715</v>
      </c>
    </row>
    <row r="71" spans="4:68" ht="24" customHeight="1" x14ac:dyDescent="0.3">
      <c r="O71" s="12">
        <f ca="1"/>
        <v>0.18829329153623009</v>
      </c>
      <c r="P71" s="13">
        <f ca="1"/>
        <v>-0.52645480283000268</v>
      </c>
      <c r="Q71" s="13">
        <f ca="1"/>
        <v>1.8741400943867337E-2</v>
      </c>
      <c r="R71" s="13">
        <f ca="1"/>
        <v>0.5781497072045938</v>
      </c>
      <c r="S71" s="13">
        <f ca="1"/>
        <v>8.0652967783457541E-2</v>
      </c>
      <c r="T71" s="14">
        <f ca="1"/>
        <v>-0.29081445924475702</v>
      </c>
    </row>
    <row r="72" spans="4:68" ht="24" customHeight="1" x14ac:dyDescent="0.3">
      <c r="O72" s="12">
        <f ca="1"/>
        <v>-3.9737404868960713E-2</v>
      </c>
      <c r="P72" s="13">
        <f ca="1"/>
        <v>0.83633589888516546</v>
      </c>
      <c r="Q72" s="13">
        <f ca="1"/>
        <v>0.17240787409792269</v>
      </c>
      <c r="R72" s="13">
        <f ca="1"/>
        <v>-0.3503107286972833</v>
      </c>
      <c r="S72" s="13">
        <f ca="1"/>
        <v>0.15874021535581662</v>
      </c>
      <c r="T72" s="14">
        <f ca="1"/>
        <v>0.40264388544138363</v>
      </c>
    </row>
    <row r="73" spans="4:68" ht="24" customHeight="1" x14ac:dyDescent="0.3">
      <c r="O73" s="15">
        <f ca="1"/>
        <v>-0.16731471527484931</v>
      </c>
      <c r="P73" s="16">
        <f ca="1"/>
        <v>-0.83607041642838054</v>
      </c>
      <c r="Q73" s="16">
        <f ca="1"/>
        <v>0.37070481351693729</v>
      </c>
      <c r="R73" s="16">
        <f ca="1"/>
        <v>-0.18710251808331035</v>
      </c>
      <c r="S73" s="16">
        <f ca="1"/>
        <v>-0.63754426423811683</v>
      </c>
      <c r="T73" s="17">
        <f ca="1"/>
        <v>0.93559736904088009</v>
      </c>
    </row>
    <row r="74" spans="4:68" ht="24" customHeight="1" x14ac:dyDescent="0.3">
      <c r="AB74" s="8" t="str" cm="1">
        <f t="array" ref="AB74:AG74">"q"&amp;_xlfn.ANCHORARRAY(O63)</f>
        <v>q1</v>
      </c>
      <c r="AC74" s="8" t="str">
        <v>q2</v>
      </c>
      <c r="AD74" s="8" t="str">
        <v>q3</v>
      </c>
      <c r="AE74" s="8" t="str">
        <v>q4</v>
      </c>
      <c r="AF74" s="8" t="str">
        <v>q5</v>
      </c>
      <c r="AG74" s="8" t="str">
        <v>q6</v>
      </c>
      <c r="AI74" s="8" t="str" cm="1">
        <f t="array" ref="AI74:AN74">"q"&amp;_xlfn.ANCHORARRAY(O63)</f>
        <v>q1</v>
      </c>
      <c r="AJ74" s="8" t="str">
        <v>q2</v>
      </c>
      <c r="AK74" s="8" t="str">
        <v>q3</v>
      </c>
      <c r="AL74" s="8" t="str">
        <v>q4</v>
      </c>
      <c r="AM74" s="8" t="str">
        <v>q5</v>
      </c>
      <c r="AN74" s="8" t="str">
        <v>q6</v>
      </c>
      <c r="AP74" s="8" t="str" cm="1">
        <f t="array" ref="AP74:AU74">"q"&amp;_xlfn.ANCHORARRAY(O63)</f>
        <v>q1</v>
      </c>
      <c r="AQ74" s="8" t="str">
        <v>q2</v>
      </c>
      <c r="AR74" s="8" t="str">
        <v>q3</v>
      </c>
      <c r="AS74" s="8" t="str">
        <v>q4</v>
      </c>
      <c r="AT74" s="8" t="str">
        <v>q5</v>
      </c>
      <c r="AU74" s="8" t="str">
        <v>q6</v>
      </c>
      <c r="AW74" s="8" t="str" cm="1">
        <f t="array" ref="AW74:BB74">"q"&amp;_xlfn.ANCHORARRAY(O63)</f>
        <v>q1</v>
      </c>
      <c r="AX74" s="8" t="str">
        <v>q2</v>
      </c>
      <c r="AY74" s="8" t="str">
        <v>q3</v>
      </c>
      <c r="AZ74" s="8" t="str">
        <v>q4</v>
      </c>
      <c r="BA74" s="8" t="str">
        <v>q5</v>
      </c>
      <c r="BB74" s="8" t="str">
        <v>q6</v>
      </c>
      <c r="BD74" s="8" t="str" cm="1">
        <f t="array" ref="BD74:BI74">"q"&amp;_xlfn.ANCHORARRAY(O63)</f>
        <v>q1</v>
      </c>
      <c r="BE74" s="8" t="str">
        <v>q2</v>
      </c>
      <c r="BF74" s="8" t="str">
        <v>q3</v>
      </c>
      <c r="BG74" s="8" t="str">
        <v>q4</v>
      </c>
      <c r="BH74" s="8" t="str">
        <v>q5</v>
      </c>
      <c r="BI74" s="8" t="str">
        <v>q6</v>
      </c>
      <c r="BK74" s="1" t="s">
        <v>21</v>
      </c>
    </row>
    <row r="75" spans="4:68" ht="24" customHeight="1" x14ac:dyDescent="0.3">
      <c r="D75" s="3" t="s">
        <v>10</v>
      </c>
      <c r="V75" s="1" t="s">
        <v>17</v>
      </c>
      <c r="AB75" s="1" t="s">
        <v>18</v>
      </c>
      <c r="AI75" s="1" t="s">
        <v>19</v>
      </c>
      <c r="AP75" s="1" t="s">
        <v>23</v>
      </c>
      <c r="AW75" s="1" t="s">
        <v>24</v>
      </c>
      <c r="BD75" s="1" t="s">
        <v>25</v>
      </c>
      <c r="BK75" s="8" t="str" cm="1">
        <f t="array" ref="BK75:BP75">"o"&amp;_xlfn.ANCHORARRAY(O63)</f>
        <v>o1</v>
      </c>
      <c r="BL75" s="8" t="str">
        <v>o2</v>
      </c>
      <c r="BM75" s="8" t="str">
        <v>o3</v>
      </c>
      <c r="BN75" s="8" t="str">
        <v>o4</v>
      </c>
      <c r="BO75" s="8" t="str">
        <v>o5</v>
      </c>
      <c r="BP75" s="8" t="str">
        <v>o6</v>
      </c>
    </row>
    <row r="76" spans="4:68" ht="24" customHeight="1" x14ac:dyDescent="0.3">
      <c r="O76" s="8" t="str" cm="1">
        <f t="array" ref="O76:T76">"q"&amp;_xlfn.ANCHORARRAY(O63)</f>
        <v>q1</v>
      </c>
      <c r="P76" s="8" t="str">
        <v>q2</v>
      </c>
      <c r="Q76" s="8" t="str">
        <v>q3</v>
      </c>
      <c r="R76" s="8" t="str">
        <v>q4</v>
      </c>
      <c r="S76" s="8" t="str">
        <v>q5</v>
      </c>
      <c r="T76" s="8" t="str">
        <v>q6</v>
      </c>
      <c r="V76" s="7" t="str" cm="1">
        <f t="array" ref="V76:V81">TRANSPOSE("k"&amp;_xlfn.ANCHORARRAY(O63))</f>
        <v>k1</v>
      </c>
      <c r="W76" s="9" cm="1">
        <f t="array" aca="1" ref="W76:Z81" ca="1">TRANSPOSE(_xlfn.ANCHORARRAY(O83))</f>
        <v>-0.17178290172310123</v>
      </c>
      <c r="X76" s="10">
        <f ca="1"/>
        <v>0.11248233039685977</v>
      </c>
      <c r="Y76" s="10">
        <f ca="1"/>
        <v>-0.82403201134589754</v>
      </c>
      <c r="Z76" s="11">
        <f ca="1"/>
        <v>-0.49796393385281057</v>
      </c>
      <c r="AA76" s="7" t="str" cm="1">
        <f t="array" ref="AA76:AA81">TRANSPOSE("k"&amp;_xlfn.ANCHORARRAY(O63))</f>
        <v>k1</v>
      </c>
      <c r="AB76" s="9" cm="1">
        <f t="array" aca="1" ref="AB76:AG81" ca="1">MMULT(_xlfn.ANCHORARRAY(W76),_xlfn.ANCHORARRAY(O77))</f>
        <v>-0.4279072408192624</v>
      </c>
      <c r="AC76" s="10">
        <f ca="1"/>
        <v>0.30206023869979282</v>
      </c>
      <c r="AD76" s="10">
        <f ca="1"/>
        <v>-0.55087595384428367</v>
      </c>
      <c r="AE76" s="10">
        <f ca="1"/>
        <v>0.70237632630878721</v>
      </c>
      <c r="AF76" s="10">
        <f ca="1"/>
        <v>0.62231514518905728</v>
      </c>
      <c r="AG76" s="11">
        <f ca="1"/>
        <v>2.5877508227882963E-2</v>
      </c>
      <c r="AH76" s="7" t="str" cm="1">
        <f t="array" ref="AH76:AH81">TRANSPOSE("k"&amp;_xlfn.ANCHORARRAY(O63))</f>
        <v>k1</v>
      </c>
      <c r="AI76" s="9" cm="1">
        <f t="array" aca="1" ref="AI76:AN81" ca="1">_xlfn.ANCHORARRAY(AB76)/SQRT(ROWS(_xlfn.ANCHORARRAY(O77)))</f>
        <v>-0.2139536204096312</v>
      </c>
      <c r="AJ76" s="10">
        <f ca="1"/>
        <v>0.15103011934989641</v>
      </c>
      <c r="AK76" s="10">
        <f ca="1"/>
        <v>-0.27543797692214184</v>
      </c>
      <c r="AL76" s="10">
        <f ca="1"/>
        <v>0.35118816315439361</v>
      </c>
      <c r="AM76" s="10">
        <f ca="1"/>
        <v>0.31115757259452864</v>
      </c>
      <c r="AN76" s="11">
        <f ca="1"/>
        <v>1.2938754113941481E-2</v>
      </c>
      <c r="AO76" s="7" t="str" cm="1">
        <f t="array" ref="AO76:AO81">TRANSPOSE("k"&amp;_xlfn.ANCHORARRAY(O63))</f>
        <v>k1</v>
      </c>
      <c r="AP76" s="9" cm="1">
        <f t="array" ref="AP76:AU81">IF(_xlfn.SEQUENCE(F63,1)&lt;=_xlfn.SEQUENCE(1,F63),1,0)</f>
        <v>1</v>
      </c>
      <c r="AQ76" s="10">
        <v>1</v>
      </c>
      <c r="AR76" s="10">
        <v>1</v>
      </c>
      <c r="AS76" s="10">
        <v>1</v>
      </c>
      <c r="AT76" s="10">
        <v>1</v>
      </c>
      <c r="AU76" s="11">
        <v>1</v>
      </c>
      <c r="AV76" s="7" t="str" cm="1">
        <f t="array" ref="AV76:AV81">TRANSPOSE("k"&amp;_xlfn.ANCHORARRAY(O63))</f>
        <v>k1</v>
      </c>
      <c r="AW76" s="9" cm="1">
        <f t="array" aca="1" ref="AW76:BB81" ca="1">IF(_xlfn.ANCHORARRAY(AP76)=1,_xlfn.ANCHORARRAY(AI76),"")</f>
        <v>-0.2139536204096312</v>
      </c>
      <c r="AX76" s="10">
        <f ca="1"/>
        <v>0.15103011934989641</v>
      </c>
      <c r="AY76" s="10">
        <f ca="1"/>
        <v>-0.27543797692214184</v>
      </c>
      <c r="AZ76" s="10">
        <f ca="1"/>
        <v>0.35118816315439361</v>
      </c>
      <c r="BA76" s="10">
        <f ca="1"/>
        <v>0.31115757259452864</v>
      </c>
      <c r="BB76" s="11">
        <f ca="1"/>
        <v>1.2938754113941481E-2</v>
      </c>
      <c r="BC76" s="7" t="str" cm="1">
        <f t="array" ref="BC76:BC81">TRANSPOSE("k"&amp;_xlfn.ANCHORARRAY(O63))</f>
        <v>k1</v>
      </c>
      <c r="BD76" s="9" cm="1">
        <f t="array" aca="1" ref="BD76:BD81" ca="1">_xlfn.LET(_xlpm.z,AI76:AI81,_xlpm.m,AP76:AP81,_xlpm.m*EXP(_xlpm.z)/SUM(_xlpm.m*EXP(_xlpm.z)))</f>
        <v>1</v>
      </c>
      <c r="BE76" s="10" cm="1">
        <f t="array" aca="1" ref="BE76:BE81" ca="1">_xlfn.LET(_xlpm.z,AJ76:AJ81,_xlpm.m,AQ76:AQ81,_xlpm.m*EXP(_xlpm.z)/SUM(_xlpm.m*EXP(_xlpm.z)))</f>
        <v>0.60458815487071615</v>
      </c>
      <c r="BF76" s="10" cm="1">
        <f t="array" aca="1" ref="BF76:BF81" ca="1">_xlfn.LET(_xlpm.z,AK76:AK81,_xlpm.m,AR76:AR81,_xlpm.m*EXP(_xlpm.z)/SUM(_xlpm.m*EXP(_xlpm.z)))</f>
        <v>0.25524523152492201</v>
      </c>
      <c r="BG76" s="10" cm="1">
        <f t="array" aca="1" ref="BG76:BG81" ca="1">_xlfn.LET(_xlpm.z,AL76:AL81,_xlpm.m,AS76:AS81,_xlpm.m*EXP(_xlpm.z)/SUM(_xlpm.m*EXP(_xlpm.z)))</f>
        <v>0.33625771855474884</v>
      </c>
      <c r="BH76" s="10" cm="1">
        <f t="array" aca="1" ref="BH76:BH81" ca="1">_xlfn.LET(_xlpm.z,AM76:AM81,_xlpm.m,AT76:AT81,_xlpm.m*EXP(_xlpm.z)/SUM(_xlpm.m*EXP(_xlpm.z)))</f>
        <v>0.2393993535834168</v>
      </c>
      <c r="BI76" s="11" cm="1">
        <f t="array" aca="1" ref="BI76:BI81" ca="1">_xlfn.LET(_xlpm.z,AN76:AN81,_xlpm.m,AU76:AU81,_xlpm.m*EXP(_xlpm.z)/SUM(_xlpm.m*EXP(_xlpm.z)))</f>
        <v>0.15550364883069803</v>
      </c>
      <c r="BK76" s="9" cm="1">
        <f t="array" aca="1" ref="BK76:BP78" ca="1">MMULT(_xlfn.ANCHORARRAY(O89),BD76:BI81)</f>
        <v>-0.32956803155718839</v>
      </c>
      <c r="BL76" s="10">
        <f ca="1"/>
        <v>-0.43019584788368243</v>
      </c>
      <c r="BM76" s="10">
        <f ca="1"/>
        <v>-0.72443832782734918</v>
      </c>
      <c r="BN76" s="10">
        <f ca="1"/>
        <v>-0.17173311642806702</v>
      </c>
      <c r="BO76" s="10">
        <f ca="1"/>
        <v>-0.20335094600178946</v>
      </c>
      <c r="BP76" s="11">
        <f ca="1"/>
        <v>-0.17082998778214381</v>
      </c>
    </row>
    <row r="77" spans="4:68" ht="24" customHeight="1" x14ac:dyDescent="0.3">
      <c r="D77" s="7" t="s">
        <v>11</v>
      </c>
      <c r="E77" s="18" cm="1">
        <f t="array" aca="1" ref="E77:L80" ca="1">(_xlfn.RANDARRAY(F65,F64)-0.5)*2</f>
        <v>-0.35259015508411862</v>
      </c>
      <c r="F77" s="18">
        <f ca="1"/>
        <v>-0.81248722819245067</v>
      </c>
      <c r="G77" s="18">
        <f ca="1"/>
        <v>-0.19585089159255453</v>
      </c>
      <c r="H77" s="18">
        <f ca="1"/>
        <v>-0.88655530014118478</v>
      </c>
      <c r="I77" s="18">
        <f ca="1"/>
        <v>-0.59381879950837835</v>
      </c>
      <c r="J77" s="18">
        <f ca="1"/>
        <v>-0.1450916012482435</v>
      </c>
      <c r="K77" s="18">
        <f ca="1"/>
        <v>0.52350491993219839</v>
      </c>
      <c r="L77" s="18">
        <f ca="1"/>
        <v>0.67733853355383378</v>
      </c>
      <c r="N77" s="7" t="s">
        <v>12</v>
      </c>
      <c r="O77" s="9" cm="1">
        <f t="array" aca="1" ref="O77:T80" ca="1">MMULT(_xlfn.ANCHORARRAY(E77),_xlfn.ANCHORARRAY(O66))</f>
        <v>0.43818063026176296</v>
      </c>
      <c r="P77" s="10">
        <f ca="1"/>
        <v>-0.30678923258217555</v>
      </c>
      <c r="Q77" s="10">
        <f ca="1"/>
        <v>0.94467823926195504</v>
      </c>
      <c r="R77" s="10">
        <f ca="1"/>
        <v>-0.29107088767452283</v>
      </c>
      <c r="S77" s="10">
        <f ca="1"/>
        <v>-1.5302119210947538</v>
      </c>
      <c r="T77" s="11">
        <f ca="1"/>
        <v>1.257678107926834</v>
      </c>
      <c r="V77" s="7" t="str">
        <v>k2</v>
      </c>
      <c r="W77" s="12">
        <f ca="1"/>
        <v>-0.25214234326016782</v>
      </c>
      <c r="X77" s="13">
        <f ca="1"/>
        <v>-0.90295346817050492</v>
      </c>
      <c r="Y77" s="13">
        <f ca="1"/>
        <v>0.99828549430798863</v>
      </c>
      <c r="Z77" s="14">
        <f ca="1"/>
        <v>-0.52784957927391407</v>
      </c>
      <c r="AA77" s="7" t="str">
        <v>k2</v>
      </c>
      <c r="AB77" s="12">
        <f ca="1"/>
        <v>-0.14529179750797772</v>
      </c>
      <c r="AC77" s="13">
        <f ca="1"/>
        <v>-0.54717900700787636</v>
      </c>
      <c r="AD77" s="13">
        <f ca="1"/>
        <v>3.7740861609010246E-2</v>
      </c>
      <c r="AE77" s="13">
        <f ca="1"/>
        <v>-0.78316878032498882</v>
      </c>
      <c r="AF77" s="13">
        <f ca="1"/>
        <v>0.27287887076082717</v>
      </c>
      <c r="AG77" s="14">
        <f ca="1"/>
        <v>-0.75247855320021961</v>
      </c>
      <c r="AH77" s="7" t="str">
        <v>k2</v>
      </c>
      <c r="AI77" s="12">
        <f ca="1"/>
        <v>-7.2645898753988858E-2</v>
      </c>
      <c r="AJ77" s="13">
        <f ca="1"/>
        <v>-0.27358950350393818</v>
      </c>
      <c r="AK77" s="13">
        <f ca="1"/>
        <v>1.8870430804505123E-2</v>
      </c>
      <c r="AL77" s="13">
        <f ca="1"/>
        <v>-0.39158439016249441</v>
      </c>
      <c r="AM77" s="13">
        <f ca="1"/>
        <v>0.13643943538041359</v>
      </c>
      <c r="AN77" s="14">
        <f ca="1"/>
        <v>-0.37623927660010981</v>
      </c>
      <c r="AO77" s="7" t="str">
        <v>k2</v>
      </c>
      <c r="AP77" s="12">
        <v>0</v>
      </c>
      <c r="AQ77" s="13">
        <v>1</v>
      </c>
      <c r="AR77" s="13">
        <v>1</v>
      </c>
      <c r="AS77" s="13">
        <v>1</v>
      </c>
      <c r="AT77" s="13">
        <v>1</v>
      </c>
      <c r="AU77" s="14">
        <v>1</v>
      </c>
      <c r="AV77" s="7" t="str">
        <v>k2</v>
      </c>
      <c r="AW77" s="12" t="str">
        <f ca="1"/>
        <v/>
      </c>
      <c r="AX77" s="13">
        <f ca="1"/>
        <v>-0.27358950350393818</v>
      </c>
      <c r="AY77" s="13">
        <f ca="1"/>
        <v>1.8870430804505123E-2</v>
      </c>
      <c r="AZ77" s="13">
        <f ca="1"/>
        <v>-0.39158439016249441</v>
      </c>
      <c r="BA77" s="13">
        <f ca="1"/>
        <v>0.13643943538041359</v>
      </c>
      <c r="BB77" s="14">
        <f ca="1"/>
        <v>-0.37623927660010981</v>
      </c>
      <c r="BC77" s="7" t="str">
        <v>k2</v>
      </c>
      <c r="BD77" s="12">
        <f ca="1"/>
        <v>0</v>
      </c>
      <c r="BE77" s="13">
        <f ca="1"/>
        <v>0.39541184512928379</v>
      </c>
      <c r="BF77" s="13">
        <f ca="1"/>
        <v>0.34258958413161955</v>
      </c>
      <c r="BG77" s="13">
        <f ca="1"/>
        <v>0.15998904308103223</v>
      </c>
      <c r="BH77" s="13">
        <f ca="1"/>
        <v>0.2010221208036885</v>
      </c>
      <c r="BI77" s="14">
        <f ca="1"/>
        <v>0.10537139091084882</v>
      </c>
      <c r="BK77" s="12">
        <f ca="1"/>
        <v>0.4259891358206902</v>
      </c>
      <c r="BL77" s="13">
        <f ca="1"/>
        <v>0.54095189490335394</v>
      </c>
      <c r="BM77" s="13">
        <f ca="1"/>
        <v>0.35601447419183896</v>
      </c>
      <c r="BN77" s="13">
        <f ca="1"/>
        <v>0.11636455185203412</v>
      </c>
      <c r="BO77" s="13">
        <f ca="1"/>
        <v>0.35860112769348906</v>
      </c>
      <c r="BP77" s="14">
        <f ca="1"/>
        <v>0.29902522682476984</v>
      </c>
    </row>
    <row r="78" spans="4:68" ht="24" customHeight="1" x14ac:dyDescent="0.3">
      <c r="E78" s="18">
        <f ca="1"/>
        <v>-0.65541449074338631</v>
      </c>
      <c r="F78" s="18">
        <f ca="1"/>
        <v>0.31268661601920122</v>
      </c>
      <c r="G78" s="18">
        <f ca="1"/>
        <v>-0.50686165772521807</v>
      </c>
      <c r="H78" s="18">
        <f ca="1"/>
        <v>-0.74051535156447557</v>
      </c>
      <c r="I78" s="18">
        <f ca="1"/>
        <v>-0.20645783237572335</v>
      </c>
      <c r="J78" s="18">
        <f ca="1"/>
        <v>-0.62957837641529224</v>
      </c>
      <c r="K78" s="18">
        <f ca="1"/>
        <v>0.60135600767855424</v>
      </c>
      <c r="L78" s="18">
        <f ca="1"/>
        <v>-0.1760751755872203</v>
      </c>
      <c r="O78" s="12">
        <f ca="1"/>
        <v>-0.27710097663304784</v>
      </c>
      <c r="P78" s="13">
        <f ca="1"/>
        <v>0.82497417636563986</v>
      </c>
      <c r="Q78" s="13">
        <f ca="1"/>
        <v>-6.1562820023558756E-2</v>
      </c>
      <c r="R78" s="13">
        <f ca="1"/>
        <v>0.39058688270007846</v>
      </c>
      <c r="S78" s="13">
        <f ca="1"/>
        <v>0.11429592783761391</v>
      </c>
      <c r="T78" s="14">
        <f ca="1"/>
        <v>0.27816280111585001</v>
      </c>
      <c r="V78" s="7" t="str">
        <v>k3</v>
      </c>
      <c r="W78" s="12">
        <f ca="1"/>
        <v>0.23505122139302609</v>
      </c>
      <c r="X78" s="13">
        <f ca="1"/>
        <v>0.17600156327314875</v>
      </c>
      <c r="Y78" s="13">
        <f ca="1"/>
        <v>0.85240927190031501</v>
      </c>
      <c r="Z78" s="14">
        <f ca="1"/>
        <v>-0.64213547885285172</v>
      </c>
      <c r="AA78" s="7" t="str">
        <v>k3</v>
      </c>
      <c r="AB78" s="12">
        <f ca="1"/>
        <v>-0.30328324662091755</v>
      </c>
      <c r="AC78" s="13">
        <f ca="1"/>
        <v>0.22834467613989098</v>
      </c>
      <c r="AD78" s="13">
        <f ca="1"/>
        <v>0.35840031668343642</v>
      </c>
      <c r="AE78" s="13">
        <f ca="1"/>
        <v>-0.39045187687174904</v>
      </c>
      <c r="AF78" s="13">
        <f ca="1"/>
        <v>-0.27847801319546095</v>
      </c>
      <c r="AG78" s="14">
        <f ca="1"/>
        <v>0.19930767871497768</v>
      </c>
      <c r="AH78" s="7" t="str">
        <v>k3</v>
      </c>
      <c r="AI78" s="12">
        <f ca="1"/>
        <v>-0.15164162331045877</v>
      </c>
      <c r="AJ78" s="13">
        <f ca="1"/>
        <v>0.11417233806994549</v>
      </c>
      <c r="AK78" s="13">
        <f ca="1"/>
        <v>0.17920015834171821</v>
      </c>
      <c r="AL78" s="13">
        <f ca="1"/>
        <v>-0.19522593843587452</v>
      </c>
      <c r="AM78" s="13">
        <f ca="1"/>
        <v>-0.13923900659773047</v>
      </c>
      <c r="AN78" s="14">
        <f ca="1"/>
        <v>9.9653839357488838E-2</v>
      </c>
      <c r="AO78" s="7" t="str">
        <v>k3</v>
      </c>
      <c r="AP78" s="12">
        <v>0</v>
      </c>
      <c r="AQ78" s="13">
        <v>0</v>
      </c>
      <c r="AR78" s="13">
        <v>1</v>
      </c>
      <c r="AS78" s="13">
        <v>1</v>
      </c>
      <c r="AT78" s="13">
        <v>1</v>
      </c>
      <c r="AU78" s="14">
        <v>1</v>
      </c>
      <c r="AV78" s="7" t="str">
        <v>k3</v>
      </c>
      <c r="AW78" s="12" t="str">
        <f ca="1"/>
        <v/>
      </c>
      <c r="AX78" s="13" t="str">
        <f ca="1"/>
        <v/>
      </c>
      <c r="AY78" s="13">
        <f ca="1"/>
        <v>0.17920015834171821</v>
      </c>
      <c r="AZ78" s="13">
        <f ca="1"/>
        <v>-0.19522593843587452</v>
      </c>
      <c r="BA78" s="13">
        <f ca="1"/>
        <v>-0.13923900659773047</v>
      </c>
      <c r="BB78" s="14">
        <f ca="1"/>
        <v>9.9653839357488838E-2</v>
      </c>
      <c r="BC78" s="7" t="str">
        <v>k3</v>
      </c>
      <c r="BD78" s="12">
        <f ca="1"/>
        <v>0</v>
      </c>
      <c r="BE78" s="13">
        <f ca="1"/>
        <v>0</v>
      </c>
      <c r="BF78" s="13">
        <f ca="1"/>
        <v>0.40216518434345855</v>
      </c>
      <c r="BG78" s="13">
        <f ca="1"/>
        <v>0.19470075378130805</v>
      </c>
      <c r="BH78" s="13">
        <f ca="1"/>
        <v>0.15258724239883195</v>
      </c>
      <c r="BI78" s="14">
        <f ca="1"/>
        <v>0.16959008859068614</v>
      </c>
      <c r="BK78" s="15">
        <f ca="1"/>
        <v>0.74266440742637219</v>
      </c>
      <c r="BL78" s="16">
        <f ca="1"/>
        <v>1.3111177948487409</v>
      </c>
      <c r="BM78" s="16">
        <f ca="1"/>
        <v>1.1138767459229262</v>
      </c>
      <c r="BN78" s="16">
        <f ca="1"/>
        <v>0.14101581985729372</v>
      </c>
      <c r="BO78" s="16">
        <f ca="1"/>
        <v>0.28790570487770795</v>
      </c>
      <c r="BP78" s="17">
        <f ca="1"/>
        <v>0.34777383117281108</v>
      </c>
    </row>
    <row r="79" spans="4:68" ht="24" customHeight="1" x14ac:dyDescent="0.3">
      <c r="E79" s="18">
        <f ca="1"/>
        <v>0.47742002039563269</v>
      </c>
      <c r="F79" s="18">
        <f ca="1"/>
        <v>-0.21355939710615424</v>
      </c>
      <c r="G79" s="18">
        <f ca="1"/>
        <v>-0.16192145055612484</v>
      </c>
      <c r="H79" s="18">
        <f ca="1"/>
        <v>0.30849328505923079</v>
      </c>
      <c r="I79" s="18">
        <f ca="1"/>
        <v>-9.9773944726598174E-2</v>
      </c>
      <c r="J79" s="18">
        <f ca="1"/>
        <v>-3.730343820505011E-2</v>
      </c>
      <c r="K79" s="18">
        <f ca="1"/>
        <v>-0.17123838167889183</v>
      </c>
      <c r="L79" s="18">
        <f ca="1"/>
        <v>-0.15774755209765612</v>
      </c>
      <c r="O79" s="12">
        <f ca="1"/>
        <v>2.9780418674072752E-2</v>
      </c>
      <c r="P79" s="13">
        <f ca="1"/>
        <v>-2.4351596742452852E-2</v>
      </c>
      <c r="Q79" s="13">
        <f ca="1"/>
        <v>0.33386743053294471</v>
      </c>
      <c r="R79" s="13">
        <f ca="1"/>
        <v>-0.61376882287778978</v>
      </c>
      <c r="S79" s="13">
        <f ca="1"/>
        <v>-0.20149041440135923</v>
      </c>
      <c r="T79" s="14">
        <f ca="1"/>
        <v>-0.21769463077091938</v>
      </c>
      <c r="V79" s="7" t="str">
        <v>k4</v>
      </c>
      <c r="W79" s="12">
        <f ca="1"/>
        <v>-0.83730693984243132</v>
      </c>
      <c r="X79" s="13">
        <f ca="1"/>
        <v>0.61282719317936052</v>
      </c>
      <c r="Y79" s="13">
        <f ca="1"/>
        <v>-0.71094698625310415</v>
      </c>
      <c r="Z79" s="14">
        <f ca="1"/>
        <v>1.8710364800921788</v>
      </c>
      <c r="AA79" s="7" t="str">
        <v>k4</v>
      </c>
      <c r="AB79" s="12">
        <f ca="1"/>
        <v>0.55778408100712484</v>
      </c>
      <c r="AC79" s="13">
        <f ca="1"/>
        <v>0.26688366558649346</v>
      </c>
      <c r="AD79" s="13">
        <f ca="1"/>
        <v>-0.66571111534265937</v>
      </c>
      <c r="AE79" s="13">
        <f ca="1"/>
        <v>0.53364278637124796</v>
      </c>
      <c r="AF79" s="13">
        <f ca="1"/>
        <v>0.81611806986299751</v>
      </c>
      <c r="AG79" s="14">
        <f ca="1"/>
        <v>-0.84524304844733045</v>
      </c>
      <c r="AH79" s="7" t="str">
        <v>k4</v>
      </c>
      <c r="AI79" s="12">
        <f ca="1"/>
        <v>0.27889204050356242</v>
      </c>
      <c r="AJ79" s="13">
        <f ca="1"/>
        <v>0.13344183279324673</v>
      </c>
      <c r="AK79" s="13">
        <f ca="1"/>
        <v>-0.33285555767132968</v>
      </c>
      <c r="AL79" s="13">
        <f ca="1"/>
        <v>0.26682139318562398</v>
      </c>
      <c r="AM79" s="13">
        <f ca="1"/>
        <v>0.40805903493149875</v>
      </c>
      <c r="AN79" s="14">
        <f ca="1"/>
        <v>-0.42262152422366522</v>
      </c>
      <c r="AO79" s="7" t="str">
        <v>k4</v>
      </c>
      <c r="AP79" s="12">
        <v>0</v>
      </c>
      <c r="AQ79" s="13">
        <v>0</v>
      </c>
      <c r="AR79" s="13">
        <v>0</v>
      </c>
      <c r="AS79" s="13">
        <v>1</v>
      </c>
      <c r="AT79" s="13">
        <v>1</v>
      </c>
      <c r="AU79" s="14">
        <v>1</v>
      </c>
      <c r="AV79" s="7" t="str">
        <v>k4</v>
      </c>
      <c r="AW79" s="12" t="str">
        <f ca="1"/>
        <v/>
      </c>
      <c r="AX79" s="13" t="str">
        <f ca="1"/>
        <v/>
      </c>
      <c r="AY79" s="13" t="str">
        <f ca="1"/>
        <v/>
      </c>
      <c r="AZ79" s="13">
        <f ca="1"/>
        <v>0.26682139318562398</v>
      </c>
      <c r="BA79" s="13">
        <f ca="1"/>
        <v>0.40805903493149875</v>
      </c>
      <c r="BB79" s="14">
        <f ca="1"/>
        <v>-0.42262152422366522</v>
      </c>
      <c r="BC79" s="7" t="str">
        <v>k4</v>
      </c>
      <c r="BD79" s="12">
        <f ca="1"/>
        <v>0</v>
      </c>
      <c r="BE79" s="13">
        <f ca="1"/>
        <v>0</v>
      </c>
      <c r="BF79" s="13">
        <f ca="1"/>
        <v>0</v>
      </c>
      <c r="BG79" s="13">
        <f ca="1"/>
        <v>0.3090524845829109</v>
      </c>
      <c r="BH79" s="13">
        <f ca="1"/>
        <v>0.26375866974058493</v>
      </c>
      <c r="BI79" s="14">
        <f ca="1"/>
        <v>0.10059564013976419</v>
      </c>
    </row>
    <row r="80" spans="4:68" ht="24" customHeight="1" x14ac:dyDescent="0.3">
      <c r="E80" s="18">
        <f ca="1"/>
        <v>8.6586985864647747E-2</v>
      </c>
      <c r="F80" s="18">
        <f ca="1"/>
        <v>-0.55691093409942249</v>
      </c>
      <c r="G80" s="18">
        <f ca="1"/>
        <v>0.29863829184143142</v>
      </c>
      <c r="H80" s="18">
        <f ca="1"/>
        <v>-6.5088884078079445E-3</v>
      </c>
      <c r="I80" s="18">
        <f ca="1"/>
        <v>-0.24143173085681369</v>
      </c>
      <c r="J80" s="18">
        <f ca="1"/>
        <v>8.2765809710768856E-2</v>
      </c>
      <c r="K80" s="18">
        <f ca="1"/>
        <v>-0.32195823619348385</v>
      </c>
      <c r="L80" s="18">
        <f ca="1"/>
        <v>-0.13030662620473299</v>
      </c>
      <c r="O80" s="15">
        <f ca="1"/>
        <v>0.59628077172383243</v>
      </c>
      <c r="P80" s="16">
        <f ca="1"/>
        <v>-0.274111379784715</v>
      </c>
      <c r="Q80" s="16">
        <f ca="1"/>
        <v>0.21397976379086323</v>
      </c>
      <c r="R80" s="16">
        <f ca="1"/>
        <v>-0.20619172841812547</v>
      </c>
      <c r="S80" s="16">
        <f ca="1"/>
        <v>-0.36259669645346854</v>
      </c>
      <c r="T80" s="17">
        <f ca="1"/>
        <v>-6.2754260628478969E-2</v>
      </c>
      <c r="V80" s="7" t="str">
        <v>k5</v>
      </c>
      <c r="W80" s="12">
        <f ca="1"/>
        <v>0.48241449979656936</v>
      </c>
      <c r="X80" s="13">
        <f ca="1"/>
        <v>4.3347703269003002E-2</v>
      </c>
      <c r="Y80" s="13">
        <f ca="1"/>
        <v>-1.4634603328113314</v>
      </c>
      <c r="Z80" s="14">
        <f ca="1"/>
        <v>-9.1996523484296919E-2</v>
      </c>
      <c r="AA80" s="7" t="str">
        <v>k5</v>
      </c>
      <c r="AB80" s="12">
        <f ca="1"/>
        <v>0.10093477921448807</v>
      </c>
      <c r="AC80" s="13">
        <f ca="1"/>
        <v>-5.1383948516540739E-2</v>
      </c>
      <c r="AD80" s="13">
        <f ca="1"/>
        <v>-5.5229261959882134E-2</v>
      </c>
      <c r="AE80" s="13">
        <f ca="1"/>
        <v>0.79370947559283467</v>
      </c>
      <c r="AF80" s="13">
        <f ca="1"/>
        <v>-0.40501108811419667</v>
      </c>
      <c r="AG80" s="14">
        <f ca="1"/>
        <v>0.94314050451476106</v>
      </c>
      <c r="AH80" s="7" t="str">
        <v>k5</v>
      </c>
      <c r="AI80" s="12">
        <f ca="1"/>
        <v>5.0467389607244034E-2</v>
      </c>
      <c r="AJ80" s="13">
        <f ca="1"/>
        <v>-2.569197425827037E-2</v>
      </c>
      <c r="AK80" s="13">
        <f ca="1"/>
        <v>-2.7614630979941067E-2</v>
      </c>
      <c r="AL80" s="13">
        <f ca="1"/>
        <v>0.39685473779641733</v>
      </c>
      <c r="AM80" s="13">
        <f ca="1"/>
        <v>-0.20250554405709834</v>
      </c>
      <c r="AN80" s="14">
        <f ca="1"/>
        <v>0.47157025225738053</v>
      </c>
      <c r="AO80" s="7" t="str">
        <v>k5</v>
      </c>
      <c r="AP80" s="12">
        <v>0</v>
      </c>
      <c r="AQ80" s="13">
        <v>0</v>
      </c>
      <c r="AR80" s="13">
        <v>0</v>
      </c>
      <c r="AS80" s="13">
        <v>0</v>
      </c>
      <c r="AT80" s="13">
        <v>1</v>
      </c>
      <c r="AU80" s="14">
        <v>1</v>
      </c>
      <c r="AV80" s="7" t="str">
        <v>k5</v>
      </c>
      <c r="AW80" s="12" t="str">
        <f ca="1"/>
        <v/>
      </c>
      <c r="AX80" s="13" t="str">
        <f ca="1"/>
        <v/>
      </c>
      <c r="AY80" s="13" t="str">
        <f ca="1"/>
        <v/>
      </c>
      <c r="AZ80" s="13" t="str">
        <f ca="1"/>
        <v/>
      </c>
      <c r="BA80" s="13">
        <f ca="1"/>
        <v>-0.20250554405709834</v>
      </c>
      <c r="BB80" s="14">
        <f ca="1"/>
        <v>0.47157025225738053</v>
      </c>
      <c r="BC80" s="7" t="str">
        <v>k5</v>
      </c>
      <c r="BD80" s="12">
        <f ca="1"/>
        <v>0</v>
      </c>
      <c r="BE80" s="13">
        <f ca="1"/>
        <v>0</v>
      </c>
      <c r="BF80" s="13">
        <f ca="1"/>
        <v>0</v>
      </c>
      <c r="BG80" s="13">
        <f ca="1"/>
        <v>0</v>
      </c>
      <c r="BH80" s="13">
        <f ca="1"/>
        <v>0.14323261347347793</v>
      </c>
      <c r="BI80" s="14">
        <f ca="1"/>
        <v>0.24599241315823919</v>
      </c>
    </row>
    <row r="81" spans="4:61" ht="24" customHeight="1" x14ac:dyDescent="0.3">
      <c r="V81" s="7" t="str">
        <v>k6</v>
      </c>
      <c r="W81" s="15">
        <f ca="1"/>
        <v>0.5542718662748165</v>
      </c>
      <c r="X81" s="16">
        <f ca="1"/>
        <v>0.13193257892906946</v>
      </c>
      <c r="Y81" s="16">
        <f ca="1"/>
        <v>0.22168173132736213</v>
      </c>
      <c r="Z81" s="17">
        <f ca="1"/>
        <v>-0.96997765982083006</v>
      </c>
      <c r="AA81" s="7" t="str">
        <v>k6</v>
      </c>
      <c r="AB81" s="15">
        <f ca="1"/>
        <v>-0.36546470355181848</v>
      </c>
      <c r="AC81" s="16">
        <f ca="1"/>
        <v>0.19927994070884661</v>
      </c>
      <c r="AD81" s="16">
        <f ca="1"/>
        <v>0.38194314859656275</v>
      </c>
      <c r="AE81" s="16">
        <f ca="1"/>
        <v>-4.5861234484017965E-2</v>
      </c>
      <c r="AF81" s="16">
        <f ca="1"/>
        <v>-0.52603010960611596</v>
      </c>
      <c r="AG81" s="17">
        <f ca="1"/>
        <v>0.74640563598516452</v>
      </c>
      <c r="AH81" s="7" t="str">
        <v>k6</v>
      </c>
      <c r="AI81" s="15">
        <f ca="1"/>
        <v>-0.18273235177590924</v>
      </c>
      <c r="AJ81" s="16">
        <f ca="1"/>
        <v>9.9639970354423305E-2</v>
      </c>
      <c r="AK81" s="16">
        <f ca="1"/>
        <v>0.19097157429828138</v>
      </c>
      <c r="AL81" s="16">
        <f ca="1"/>
        <v>-2.2930617242008983E-2</v>
      </c>
      <c r="AM81" s="16">
        <f ca="1"/>
        <v>-0.26301505480305798</v>
      </c>
      <c r="AN81" s="17">
        <f ca="1"/>
        <v>0.37320281799258226</v>
      </c>
      <c r="AO81" s="7" t="str">
        <v>k6</v>
      </c>
      <c r="AP81" s="15">
        <v>0</v>
      </c>
      <c r="AQ81" s="16">
        <v>0</v>
      </c>
      <c r="AR81" s="16">
        <v>0</v>
      </c>
      <c r="AS81" s="16">
        <v>0</v>
      </c>
      <c r="AT81" s="16">
        <v>0</v>
      </c>
      <c r="AU81" s="17">
        <v>1</v>
      </c>
      <c r="AV81" s="7" t="str">
        <v>k6</v>
      </c>
      <c r="AW81" s="15" t="str">
        <f ca="1"/>
        <v/>
      </c>
      <c r="AX81" s="16" t="str">
        <f ca="1"/>
        <v/>
      </c>
      <c r="AY81" s="16" t="str">
        <f ca="1"/>
        <v/>
      </c>
      <c r="AZ81" s="16" t="str">
        <f ca="1"/>
        <v/>
      </c>
      <c r="BA81" s="16" t="str">
        <f ca="1"/>
        <v/>
      </c>
      <c r="BB81" s="17">
        <f ca="1"/>
        <v>0.37320281799258226</v>
      </c>
      <c r="BC81" s="7" t="str">
        <v>k6</v>
      </c>
      <c r="BD81" s="15">
        <f ca="1"/>
        <v>0</v>
      </c>
      <c r="BE81" s="16">
        <f ca="1"/>
        <v>0</v>
      </c>
      <c r="BF81" s="16">
        <f ca="1"/>
        <v>0</v>
      </c>
      <c r="BG81" s="16">
        <f ca="1"/>
        <v>0</v>
      </c>
      <c r="BH81" s="16">
        <f ca="1"/>
        <v>0</v>
      </c>
      <c r="BI81" s="17">
        <f ca="1"/>
        <v>0.22294681836976368</v>
      </c>
    </row>
    <row r="82" spans="4:61" ht="24" customHeight="1" x14ac:dyDescent="0.3">
      <c r="O82" s="8" t="str" cm="1">
        <f t="array" ref="O82:T82">"k"&amp;_xlfn.ANCHORARRAY(O63)</f>
        <v>k1</v>
      </c>
      <c r="P82" s="8" t="str">
        <v>k2</v>
      </c>
      <c r="Q82" s="8" t="str">
        <v>k3</v>
      </c>
      <c r="R82" s="8" t="str">
        <v>k4</v>
      </c>
      <c r="S82" s="8" t="str">
        <v>k5</v>
      </c>
      <c r="T82" s="8" t="str">
        <v>k6</v>
      </c>
    </row>
    <row r="83" spans="4:61" ht="24" customHeight="1" x14ac:dyDescent="0.3">
      <c r="D83" s="7" t="s">
        <v>13</v>
      </c>
      <c r="E83" s="18" cm="1">
        <f t="array" aca="1" ref="E83:L86" ca="1">(_xlfn.RANDARRAY(F65,F64)-0.5)*2</f>
        <v>0.51395427504314872</v>
      </c>
      <c r="F83" s="18">
        <f ca="1"/>
        <v>0.39163634925115964</v>
      </c>
      <c r="G83" s="18">
        <f ca="1"/>
        <v>0.27501980419665362</v>
      </c>
      <c r="H83" s="18">
        <f ca="1"/>
        <v>0.97505662654263769</v>
      </c>
      <c r="I83" s="18">
        <f ca="1"/>
        <v>0.14559489316550955</v>
      </c>
      <c r="J83" s="18">
        <f ca="1"/>
        <v>-1.4942428881203895E-2</v>
      </c>
      <c r="K83" s="18">
        <f ca="1"/>
        <v>0.23256950757278583</v>
      </c>
      <c r="L83" s="18">
        <f ca="1"/>
        <v>0.68631905034044749</v>
      </c>
      <c r="N83" s="7" t="s">
        <v>14</v>
      </c>
      <c r="O83" s="9" cm="1">
        <f t="array" aca="1" ref="O83:T86" ca="1">MMULT(_xlfn.ANCHORARRAY(E83),_xlfn.ANCHORARRAY(O66))</f>
        <v>-0.17178290172310123</v>
      </c>
      <c r="P83" s="10">
        <f ca="1"/>
        <v>-0.25214234326016782</v>
      </c>
      <c r="Q83" s="10">
        <f ca="1"/>
        <v>0.23505122139302609</v>
      </c>
      <c r="R83" s="10">
        <f ca="1"/>
        <v>-0.83730693984243132</v>
      </c>
      <c r="S83" s="10">
        <f ca="1"/>
        <v>0.48241449979656936</v>
      </c>
      <c r="T83" s="11">
        <f ca="1"/>
        <v>0.5542718662748165</v>
      </c>
    </row>
    <row r="84" spans="4:61" ht="24" customHeight="1" x14ac:dyDescent="0.3">
      <c r="E84" s="18">
        <f ca="1"/>
        <v>-0.21583976248475212</v>
      </c>
      <c r="F84" s="18">
        <f ca="1"/>
        <v>0.31002238467895582</v>
      </c>
      <c r="G84" s="18">
        <f ca="1"/>
        <v>-7.591754618659019E-2</v>
      </c>
      <c r="H84" s="18">
        <f ca="1"/>
        <v>-0.10491304035816151</v>
      </c>
      <c r="I84" s="18">
        <f ca="1"/>
        <v>-0.27520576582549117</v>
      </c>
      <c r="J84" s="18">
        <f ca="1"/>
        <v>0.60133164267500705</v>
      </c>
      <c r="K84" s="18">
        <f ca="1"/>
        <v>-0.25825360800000663</v>
      </c>
      <c r="L84" s="18">
        <f ca="1"/>
        <v>0.46287777778959383</v>
      </c>
      <c r="O84" s="12">
        <f ca="1"/>
        <v>0.11248233039685977</v>
      </c>
      <c r="P84" s="13">
        <f ca="1"/>
        <v>-0.90295346817050492</v>
      </c>
      <c r="Q84" s="13">
        <f ca="1"/>
        <v>0.17600156327314875</v>
      </c>
      <c r="R84" s="13">
        <f ca="1"/>
        <v>0.61282719317936052</v>
      </c>
      <c r="S84" s="13">
        <f ca="1"/>
        <v>4.3347703269003002E-2</v>
      </c>
      <c r="T84" s="14">
        <f ca="1"/>
        <v>0.13193257892906946</v>
      </c>
    </row>
    <row r="85" spans="4:61" ht="24" customHeight="1" x14ac:dyDescent="0.3">
      <c r="E85" s="18">
        <f ca="1"/>
        <v>0.72001983132271086</v>
      </c>
      <c r="F85" s="18">
        <f ca="1"/>
        <v>-0.24973202940300521</v>
      </c>
      <c r="G85" s="18">
        <f ca="1"/>
        <v>-0.45213088923959033</v>
      </c>
      <c r="H85" s="18">
        <f ca="1"/>
        <v>-0.64606419775797974</v>
      </c>
      <c r="I85" s="18">
        <f ca="1"/>
        <v>-0.22936608728662033</v>
      </c>
      <c r="J85" s="18">
        <f ca="1"/>
        <v>0.58307881748189416</v>
      </c>
      <c r="K85" s="18">
        <f ca="1"/>
        <v>0.93141905225535293</v>
      </c>
      <c r="L85" s="18">
        <f ca="1"/>
        <v>0.2633736106232738</v>
      </c>
      <c r="O85" s="12">
        <f ca="1"/>
        <v>-0.82403201134589754</v>
      </c>
      <c r="P85" s="13">
        <f ca="1"/>
        <v>0.99828549430798863</v>
      </c>
      <c r="Q85" s="13">
        <f ca="1"/>
        <v>0.85240927190031501</v>
      </c>
      <c r="R85" s="13">
        <f ca="1"/>
        <v>-0.71094698625310415</v>
      </c>
      <c r="S85" s="13">
        <f ca="1"/>
        <v>-1.4634603328113314</v>
      </c>
      <c r="T85" s="14">
        <f ca="1"/>
        <v>0.22168173132736213</v>
      </c>
    </row>
    <row r="86" spans="4:61" ht="24" customHeight="1" x14ac:dyDescent="0.3">
      <c r="E86" s="18">
        <f ca="1"/>
        <v>-0.46385709806945696</v>
      </c>
      <c r="F86" s="18">
        <f ca="1"/>
        <v>0.59619979469087969</v>
      </c>
      <c r="G86" s="18">
        <f ca="1"/>
        <v>-0.12968423739723844</v>
      </c>
      <c r="H86" s="18">
        <f ca="1"/>
        <v>-0.93296864057439288</v>
      </c>
      <c r="I86" s="18">
        <f ca="1"/>
        <v>2.6662671362798207E-3</v>
      </c>
      <c r="J86" s="18">
        <f ca="1"/>
        <v>0.99666804669770492</v>
      </c>
      <c r="K86" s="18">
        <f ca="1"/>
        <v>-0.82915908327294607</v>
      </c>
      <c r="L86" s="18">
        <f ca="1"/>
        <v>-0.12040866143676432</v>
      </c>
      <c r="O86" s="15">
        <f ca="1"/>
        <v>-0.49796393385281057</v>
      </c>
      <c r="P86" s="16">
        <f ca="1"/>
        <v>-0.52784957927391407</v>
      </c>
      <c r="Q86" s="16">
        <f ca="1"/>
        <v>-0.64213547885285172</v>
      </c>
      <c r="R86" s="16">
        <f ca="1"/>
        <v>1.8710364800921788</v>
      </c>
      <c r="S86" s="16">
        <f ca="1"/>
        <v>-9.1996523484296919E-2</v>
      </c>
      <c r="T86" s="17">
        <f ca="1"/>
        <v>-0.96997765982083006</v>
      </c>
    </row>
    <row r="88" spans="4:61" ht="24" customHeight="1" x14ac:dyDescent="0.3">
      <c r="O88" s="8" t="str" cm="1">
        <f t="array" ref="O88:T88">"v"&amp;_xlfn.ANCHORARRAY(O63)</f>
        <v>v1</v>
      </c>
      <c r="P88" s="8" t="str">
        <v>v2</v>
      </c>
      <c r="Q88" s="8" t="str">
        <v>v3</v>
      </c>
      <c r="R88" s="8" t="str">
        <v>v4</v>
      </c>
      <c r="S88" s="8" t="str">
        <v>v5</v>
      </c>
      <c r="T88" s="8" t="str">
        <v>v6</v>
      </c>
    </row>
    <row r="89" spans="4:61" ht="24" customHeight="1" x14ac:dyDescent="0.3">
      <c r="D89" s="7" t="s">
        <v>15</v>
      </c>
      <c r="E89" s="18" cm="1">
        <f t="array" aca="1" ref="E89:L91" ca="1">(_xlfn.RANDARRAY(F66,F64)-0.5)*2</f>
        <v>-0.8397617450174053</v>
      </c>
      <c r="F89" s="18">
        <f ca="1"/>
        <v>-0.16180091316265255</v>
      </c>
      <c r="G89" s="18">
        <f ca="1"/>
        <v>0.29643023894756837</v>
      </c>
      <c r="H89" s="18">
        <f ca="1"/>
        <v>-0.43026349122459528</v>
      </c>
      <c r="I89" s="18">
        <f ca="1"/>
        <v>0.96908074103437514</v>
      </c>
      <c r="J89" s="18">
        <f ca="1"/>
        <v>-0.97625998102368872</v>
      </c>
      <c r="K89" s="18">
        <f ca="1"/>
        <v>-0.50708672619776562</v>
      </c>
      <c r="L89" s="18">
        <f ca="1"/>
        <v>0.40581033563092861</v>
      </c>
      <c r="N89" s="7" t="s">
        <v>16</v>
      </c>
      <c r="O89" s="9" cm="1">
        <f t="array" aca="1" ref="O89:T91" ca="1">MMULT(_xlfn.ANCHORARRAY(E89),_xlfn.ANCHORARRAY(O66))</f>
        <v>-0.32956803155718839</v>
      </c>
      <c r="P89" s="10">
        <f ca="1"/>
        <v>-0.58405665542123275</v>
      </c>
      <c r="Q89" s="10">
        <f ca="1"/>
        <v>-1.0946395902915698</v>
      </c>
      <c r="R89" s="10">
        <f ca="1"/>
        <v>0.79486983273422396</v>
      </c>
      <c r="S89" s="10">
        <f ca="1"/>
        <v>-0.34677882874680421</v>
      </c>
      <c r="T89" s="11">
        <f ca="1"/>
        <v>0.59631464195768447</v>
      </c>
    </row>
    <row r="90" spans="4:61" ht="24" customHeight="1" x14ac:dyDescent="0.3">
      <c r="E90" s="18">
        <f ca="1"/>
        <v>0.52257491323476701</v>
      </c>
      <c r="F90" s="18">
        <f ca="1"/>
        <v>0.9003414431948582</v>
      </c>
      <c r="G90" s="18">
        <f ca="1"/>
        <v>0.88860727352503144</v>
      </c>
      <c r="H90" s="18">
        <f ca="1"/>
        <v>0.88708580423494654</v>
      </c>
      <c r="I90" s="18">
        <f ca="1"/>
        <v>-0.80487326031566875</v>
      </c>
      <c r="J90" s="18">
        <f ca="1"/>
        <v>0.11220804356112746</v>
      </c>
      <c r="K90" s="18">
        <f ca="1"/>
        <v>-0.50958352608963109</v>
      </c>
      <c r="L90" s="18">
        <f ca="1"/>
        <v>-0.39464738393881493</v>
      </c>
      <c r="O90" s="12">
        <f ca="1"/>
        <v>0.4259891358206902</v>
      </c>
      <c r="P90" s="13">
        <f ca="1"/>
        <v>0.7167309547590569</v>
      </c>
      <c r="Q90" s="13">
        <f ca="1"/>
        <v>4.3221515304940894E-3</v>
      </c>
      <c r="R90" s="13">
        <f ca="1"/>
        <v>-0.46072500934494642</v>
      </c>
      <c r="S90" s="13">
        <f ca="1"/>
        <v>1.6295278855198116</v>
      </c>
      <c r="T90" s="14">
        <f ca="1"/>
        <v>-0.88800612138012203</v>
      </c>
    </row>
    <row r="91" spans="4:61" ht="24" customHeight="1" x14ac:dyDescent="0.3">
      <c r="E91" s="18">
        <f ca="1"/>
        <v>0.54687672821886402</v>
      </c>
      <c r="F91" s="18">
        <f ca="1"/>
        <v>-0.54336197817850662</v>
      </c>
      <c r="G91" s="18">
        <f ca="1"/>
        <v>0.67286562241648618</v>
      </c>
      <c r="H91" s="18">
        <f ca="1"/>
        <v>0.46690832698331741</v>
      </c>
      <c r="I91" s="18">
        <f ca="1"/>
        <v>-0.55619668881459594</v>
      </c>
      <c r="J91" s="18">
        <f ca="1"/>
        <v>-0.84656665256351715</v>
      </c>
      <c r="K91" s="18">
        <f ca="1"/>
        <v>0.91513005726973651</v>
      </c>
      <c r="L91" s="18">
        <f ca="1"/>
        <v>-0.89573697303562927</v>
      </c>
      <c r="O91" s="15">
        <f ca="1"/>
        <v>0.74266440742637219</v>
      </c>
      <c r="P91" s="16">
        <f ca="1"/>
        <v>2.1802879749158777</v>
      </c>
      <c r="Q91" s="16">
        <f ca="1"/>
        <v>0.44104078024561688</v>
      </c>
      <c r="R91" s="16">
        <f ca="1"/>
        <v>-1.7582902764204178</v>
      </c>
      <c r="S91" s="16">
        <f ca="1"/>
        <v>0.47680007616454456</v>
      </c>
      <c r="T91" s="17">
        <f ca="1"/>
        <v>-5.6794625059122805E-2</v>
      </c>
    </row>
    <row r="94" spans="4:61" ht="24" customHeight="1" x14ac:dyDescent="0.3">
      <c r="E94" s="3" t="s">
        <v>26</v>
      </c>
      <c r="V94" s="1" t="s">
        <v>34</v>
      </c>
    </row>
    <row r="95" spans="4:61" ht="24" customHeight="1" x14ac:dyDescent="0.3">
      <c r="N95" s="7" t="s">
        <v>27</v>
      </c>
      <c r="O95" s="8" cm="1">
        <f t="array" ref="O95:T95">_xlfn.SEQUENCE(1,F63,1)</f>
        <v>1</v>
      </c>
      <c r="P95" s="8">
        <v>2</v>
      </c>
      <c r="Q95" s="8">
        <v>3</v>
      </c>
      <c r="R95" s="8">
        <v>4</v>
      </c>
      <c r="S95" s="8">
        <v>5</v>
      </c>
      <c r="T95" s="8">
        <v>6</v>
      </c>
      <c r="V95" s="1" t="s">
        <v>35</v>
      </c>
    </row>
    <row r="96" spans="4:61" ht="24" customHeight="1" x14ac:dyDescent="0.3">
      <c r="N96" s="7" t="s">
        <v>28</v>
      </c>
      <c r="O96" s="8" cm="1">
        <f t="array" ref="O96:T96">_xlfn.ANCHORARRAY(O95)*F65</f>
        <v>4</v>
      </c>
      <c r="P96" s="8">
        <v>8</v>
      </c>
      <c r="Q96" s="8">
        <v>12</v>
      </c>
      <c r="R96" s="8">
        <v>16</v>
      </c>
      <c r="S96" s="8">
        <v>20</v>
      </c>
      <c r="T96" s="8">
        <v>24</v>
      </c>
    </row>
    <row r="97" spans="1:74" ht="24" customHeight="1" x14ac:dyDescent="0.3">
      <c r="N97" s="7" t="s">
        <v>29</v>
      </c>
      <c r="O97" s="8" cm="1">
        <f t="array" ref="O97:T97">_xlfn.ANCHORARRAY(O95)*F66</f>
        <v>3</v>
      </c>
      <c r="P97" s="8">
        <v>6</v>
      </c>
      <c r="Q97" s="8">
        <v>9</v>
      </c>
      <c r="R97" s="8">
        <v>12</v>
      </c>
      <c r="S97" s="8">
        <v>15</v>
      </c>
      <c r="T97" s="8">
        <v>18</v>
      </c>
    </row>
    <row r="98" spans="1:74" ht="24" customHeight="1" x14ac:dyDescent="0.3">
      <c r="N98" s="7" t="s">
        <v>30</v>
      </c>
      <c r="O98" s="19" cm="1">
        <f t="array" ref="O98:T98">_xlfn.ANCHORARRAY(O96)+_xlfn.ANCHORARRAY(O97)</f>
        <v>7</v>
      </c>
      <c r="P98" s="20">
        <v>14</v>
      </c>
      <c r="Q98" s="20">
        <v>21</v>
      </c>
      <c r="R98" s="20">
        <v>28</v>
      </c>
      <c r="S98" s="20">
        <v>35</v>
      </c>
      <c r="T98" s="21">
        <v>42</v>
      </c>
    </row>
    <row r="100" spans="1:74" ht="24" customHeight="1" x14ac:dyDescent="0.3">
      <c r="E100" s="7" t="s">
        <v>31</v>
      </c>
      <c r="F100" s="8">
        <f>F65+F66</f>
        <v>7</v>
      </c>
    </row>
    <row r="101" spans="1:74" ht="24" customHeight="1" x14ac:dyDescent="0.3">
      <c r="E101" s="7" t="s">
        <v>32</v>
      </c>
      <c r="F101" s="8">
        <v>512</v>
      </c>
    </row>
    <row r="102" spans="1:74" ht="24" customHeight="1" x14ac:dyDescent="0.3">
      <c r="E102" s="7" t="s">
        <v>33</v>
      </c>
      <c r="F102" s="8">
        <f>F100*F101</f>
        <v>3584</v>
      </c>
    </row>
    <row r="108" spans="1:74" ht="48" customHeight="1" thickBot="1" x14ac:dyDescent="0.95">
      <c r="A108" s="5" t="s">
        <v>36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</row>
    <row r="109" spans="1:74" ht="24" customHeight="1" thickTop="1" x14ac:dyDescent="0.3"/>
    <row r="111" spans="1:74" ht="24" customHeight="1" x14ac:dyDescent="0.3">
      <c r="E111" s="7" t="s">
        <v>4</v>
      </c>
      <c r="F111" s="8">
        <v>6</v>
      </c>
      <c r="N111" s="7" t="s">
        <v>8</v>
      </c>
      <c r="O111" s="8" cm="1">
        <f t="array" ref="O111:T111">_xlfn.SEQUENCE(1,F111,1)</f>
        <v>1</v>
      </c>
      <c r="P111" s="8">
        <v>2</v>
      </c>
      <c r="Q111" s="8">
        <v>3</v>
      </c>
      <c r="R111" s="8">
        <v>4</v>
      </c>
      <c r="S111" s="8">
        <v>5</v>
      </c>
      <c r="T111" s="8">
        <v>6</v>
      </c>
    </row>
    <row r="112" spans="1:74" ht="24" customHeight="1" x14ac:dyDescent="0.3">
      <c r="E112" s="7" t="s">
        <v>5</v>
      </c>
      <c r="F112" s="8">
        <v>8</v>
      </c>
      <c r="W112" s="3" t="s">
        <v>44</v>
      </c>
    </row>
    <row r="113" spans="4:28" ht="24" customHeight="1" x14ac:dyDescent="0.3">
      <c r="E113" s="7" t="s">
        <v>37</v>
      </c>
      <c r="F113" s="8">
        <v>3</v>
      </c>
      <c r="O113" s="8" t="str" cm="1">
        <f t="array" ref="O113:T113">"x"&amp;_xlfn.ANCHORARRAY(O111)</f>
        <v>x1</v>
      </c>
      <c r="P113" s="8" t="str">
        <v>x2</v>
      </c>
      <c r="Q113" s="8" t="str">
        <v>x3</v>
      </c>
      <c r="R113" s="8" t="str">
        <v>x4</v>
      </c>
      <c r="S113" s="8" t="str">
        <v>x5</v>
      </c>
      <c r="T113" s="8" t="str">
        <v>x6</v>
      </c>
      <c r="W113" s="8" t="str" cm="1">
        <f t="array" ref="W113:AB113">"x"&amp;_xlfn.ANCHORARRAY(O111)</f>
        <v>x1</v>
      </c>
      <c r="X113" s="8" t="str">
        <v>x2</v>
      </c>
      <c r="Y113" s="8" t="str">
        <v>x3</v>
      </c>
      <c r="Z113" s="8" t="str">
        <v>x4</v>
      </c>
      <c r="AA113" s="8" t="str">
        <v>x5</v>
      </c>
      <c r="AB113" s="8" t="str">
        <v>x6</v>
      </c>
    </row>
    <row r="114" spans="4:28" ht="24" customHeight="1" x14ac:dyDescent="0.3">
      <c r="N114" s="7" t="s">
        <v>9</v>
      </c>
      <c r="O114" s="9" cm="1">
        <f t="array" aca="1" ref="O114:T121" ca="1">(_xlfn.RANDARRAY(F112,F111)-0.5)*2</f>
        <v>-4.5539670974008573E-3</v>
      </c>
      <c r="P114" s="10">
        <f ca="1"/>
        <v>-0.86348747345146704</v>
      </c>
      <c r="Q114" s="10">
        <f ca="1"/>
        <v>0.50922807615427468</v>
      </c>
      <c r="R114" s="10">
        <f ca="1"/>
        <v>0.83013866780785062</v>
      </c>
      <c r="S114" s="10">
        <f ca="1"/>
        <v>0.64305057630045592</v>
      </c>
      <c r="T114" s="11">
        <f ca="1"/>
        <v>-0.31999616711465295</v>
      </c>
      <c r="W114" s="9" cm="1">
        <f t="array" aca="1" ref="W114:AB121" ca="1">_xlfn.ANCHORARRAY(O130)-_xlfn.ANCHORARRAY(O114)</f>
        <v>-0.97710976482231326</v>
      </c>
      <c r="X114" s="10">
        <f ca="1"/>
        <v>1.9324867326848536</v>
      </c>
      <c r="Y114" s="10">
        <f ca="1"/>
        <v>0.27962586498490083</v>
      </c>
      <c r="Z114" s="10">
        <f ca="1"/>
        <v>-2.1495643771816408</v>
      </c>
      <c r="AA114" s="10">
        <f ca="1"/>
        <v>-1.7593976083427019</v>
      </c>
      <c r="AB114" s="11">
        <f ca="1"/>
        <v>1.1875734755683889</v>
      </c>
    </row>
    <row r="115" spans="4:28" ht="24" customHeight="1" x14ac:dyDescent="0.3">
      <c r="O115" s="12">
        <f ca="1"/>
        <v>-0.77460590742467206</v>
      </c>
      <c r="P115" s="13">
        <f ca="1"/>
        <v>0.38867537538365937</v>
      </c>
      <c r="Q115" s="13">
        <f ca="1"/>
        <v>-0.76887572055551079</v>
      </c>
      <c r="R115" s="13">
        <f ca="1"/>
        <v>0.15872425594005612</v>
      </c>
      <c r="S115" s="13">
        <f ca="1"/>
        <v>0.82918092232242113</v>
      </c>
      <c r="T115" s="14">
        <f ca="1"/>
        <v>-8.9593511375271273E-2</v>
      </c>
      <c r="W115" s="12">
        <f ca="1"/>
        <v>1.2517340334991851</v>
      </c>
      <c r="X115" s="13">
        <f ca="1"/>
        <v>1.4452703416383488</v>
      </c>
      <c r="Y115" s="13">
        <f ca="1"/>
        <v>0.45283767735533054</v>
      </c>
      <c r="Z115" s="13">
        <f ca="1"/>
        <v>-0.60928282670111789</v>
      </c>
      <c r="AA115" s="13">
        <f ca="1"/>
        <v>-1.9718318368955525</v>
      </c>
      <c r="AB115" s="14">
        <f ca="1"/>
        <v>0.53733559528538577</v>
      </c>
    </row>
    <row r="116" spans="4:28" ht="24" customHeight="1" x14ac:dyDescent="0.3">
      <c r="O116" s="12">
        <f ca="1"/>
        <v>-0.55091357399945284</v>
      </c>
      <c r="P116" s="13">
        <f ca="1"/>
        <v>-1.3361845868632205E-2</v>
      </c>
      <c r="Q116" s="13">
        <f ca="1"/>
        <v>0.98174922309639445</v>
      </c>
      <c r="R116" s="13">
        <f ca="1"/>
        <v>-0.80201155045580252</v>
      </c>
      <c r="S116" s="13">
        <f ca="1"/>
        <v>-0.63276122362086085</v>
      </c>
      <c r="T116" s="14">
        <f ca="1"/>
        <v>0.45565068025784372</v>
      </c>
      <c r="W116" s="12">
        <f ca="1"/>
        <v>-0.28152162880369858</v>
      </c>
      <c r="X116" s="13">
        <f ca="1"/>
        <v>-0.14930304769189867</v>
      </c>
      <c r="Y116" s="13">
        <f ca="1"/>
        <v>-2.0519047035624491</v>
      </c>
      <c r="Z116" s="13">
        <f ca="1"/>
        <v>2.5380423742734566</v>
      </c>
      <c r="AA116" s="13">
        <f ca="1"/>
        <v>1.7867809398674983</v>
      </c>
      <c r="AB116" s="14">
        <f ca="1"/>
        <v>-0.85608029575529931</v>
      </c>
    </row>
    <row r="117" spans="4:28" ht="24" customHeight="1" x14ac:dyDescent="0.3">
      <c r="O117" s="12">
        <f ca="1"/>
        <v>-0.21276514291195747</v>
      </c>
      <c r="P117" s="13">
        <f ca="1"/>
        <v>0.13103673347609002</v>
      </c>
      <c r="Q117" s="13">
        <f ca="1"/>
        <v>0.23225375754055166</v>
      </c>
      <c r="R117" s="13">
        <f ca="1"/>
        <v>-8.8503755055280742E-2</v>
      </c>
      <c r="S117" s="13">
        <f ca="1"/>
        <v>-0.92321381124681645</v>
      </c>
      <c r="T117" s="14">
        <f ca="1"/>
        <v>-0.20655319762059365</v>
      </c>
      <c r="W117" s="12">
        <f ca="1"/>
        <v>1.7669586812739637</v>
      </c>
      <c r="X117" s="13">
        <f ca="1"/>
        <v>-1.3039514871530242</v>
      </c>
      <c r="Y117" s="13">
        <f ca="1"/>
        <v>-1.1595232898489125</v>
      </c>
      <c r="Z117" s="13">
        <f ca="1"/>
        <v>1.5128398631524755</v>
      </c>
      <c r="AA117" s="13">
        <f ca="1"/>
        <v>2.0788767601434892</v>
      </c>
      <c r="AB117" s="14">
        <f ca="1"/>
        <v>-0.84199882042308838</v>
      </c>
    </row>
    <row r="118" spans="4:28" ht="24" customHeight="1" x14ac:dyDescent="0.3">
      <c r="O118" s="12">
        <f ca="1"/>
        <v>0.45585866288136279</v>
      </c>
      <c r="P118" s="13">
        <f ca="1"/>
        <v>-0.6785345630731392</v>
      </c>
      <c r="Q118" s="13">
        <f ca="1"/>
        <v>0.80455626539363889</v>
      </c>
      <c r="R118" s="13">
        <f ca="1"/>
        <v>-0.14474316739414883</v>
      </c>
      <c r="S118" s="13">
        <f ca="1"/>
        <v>7.3522236456751155E-2</v>
      </c>
      <c r="T118" s="14">
        <f ca="1"/>
        <v>-0.97441277060905884</v>
      </c>
      <c r="W118" s="12">
        <f ca="1"/>
        <v>-1.2533085921235161</v>
      </c>
      <c r="X118" s="13">
        <f ca="1"/>
        <v>2.2938450428646284E-2</v>
      </c>
      <c r="Y118" s="13">
        <f ca="1"/>
        <v>-1.6571057662182671</v>
      </c>
      <c r="Z118" s="13">
        <f ca="1"/>
        <v>1.7815650176441005</v>
      </c>
      <c r="AA118" s="13">
        <f ca="1"/>
        <v>1.2437736336801835</v>
      </c>
      <c r="AB118" s="14">
        <f ca="1"/>
        <v>0.48728774439408767</v>
      </c>
    </row>
    <row r="119" spans="4:28" ht="24" customHeight="1" x14ac:dyDescent="0.3">
      <c r="O119" s="12">
        <f ca="1"/>
        <v>0.87289066489551947</v>
      </c>
      <c r="P119" s="13">
        <f ca="1"/>
        <v>0.83222319213727491</v>
      </c>
      <c r="Q119" s="13">
        <f ca="1"/>
        <v>0.13057755323772913</v>
      </c>
      <c r="R119" s="13">
        <f ca="1"/>
        <v>0.76238592576995812</v>
      </c>
      <c r="S119" s="13">
        <f ca="1"/>
        <v>-0.99731599948749894</v>
      </c>
      <c r="T119" s="14">
        <f ca="1"/>
        <v>-0.42214656678544227</v>
      </c>
      <c r="W119" s="12">
        <f ca="1"/>
        <v>-0.81884130732501947</v>
      </c>
      <c r="X119" s="13">
        <f ca="1"/>
        <v>0.64717375351910977</v>
      </c>
      <c r="Y119" s="13">
        <f ca="1"/>
        <v>-0.26392520079586301</v>
      </c>
      <c r="Z119" s="13">
        <f ca="1"/>
        <v>-1.2184266087875542</v>
      </c>
      <c r="AA119" s="13">
        <f ca="1"/>
        <v>6.1989124497280224E-2</v>
      </c>
      <c r="AB119" s="14">
        <f ca="1"/>
        <v>0.88451884756756538</v>
      </c>
    </row>
    <row r="120" spans="4:28" ht="24" customHeight="1" x14ac:dyDescent="0.3">
      <c r="O120" s="12">
        <f ca="1"/>
        <v>-9.0632412857696298E-2</v>
      </c>
      <c r="P120" s="13">
        <f ca="1"/>
        <v>0.88558403110518258</v>
      </c>
      <c r="Q120" s="13">
        <f ca="1"/>
        <v>0.20807645015253406</v>
      </c>
      <c r="R120" s="13">
        <f ca="1"/>
        <v>-0.28049101234607532</v>
      </c>
      <c r="S120" s="13">
        <f ca="1"/>
        <v>-0.82418793871194085</v>
      </c>
      <c r="T120" s="14">
        <f ca="1"/>
        <v>0.43165931937992186</v>
      </c>
      <c r="W120" s="12">
        <f ca="1"/>
        <v>-0.28688001983550304</v>
      </c>
      <c r="X120" s="13">
        <f ca="1"/>
        <v>0.69810529585092906</v>
      </c>
      <c r="Y120" s="13">
        <f ca="1"/>
        <v>-0.19301929138221235</v>
      </c>
      <c r="Z120" s="13">
        <f ca="1"/>
        <v>-0.32649417130246372</v>
      </c>
      <c r="AA120" s="13">
        <f ca="1"/>
        <v>-0.1932227603677259</v>
      </c>
      <c r="AB120" s="14">
        <f ca="1"/>
        <v>0.1955147759814202</v>
      </c>
    </row>
    <row r="121" spans="4:28" ht="24" customHeight="1" x14ac:dyDescent="0.3">
      <c r="O121" s="15">
        <f ca="1"/>
        <v>-0.60585109634231582</v>
      </c>
      <c r="P121" s="16">
        <f ca="1"/>
        <v>0.10798789402041731</v>
      </c>
      <c r="Q121" s="16">
        <f ca="1"/>
        <v>-8.9765323651227469E-3</v>
      </c>
      <c r="R121" s="16">
        <f ca="1"/>
        <v>0.30216808225879976</v>
      </c>
      <c r="S121" s="16">
        <f ca="1"/>
        <v>-0.36369977426540689</v>
      </c>
      <c r="T121" s="17">
        <f ca="1"/>
        <v>0.11356026992806578</v>
      </c>
      <c r="W121" s="15">
        <f ca="1"/>
        <v>0.70868448790901806</v>
      </c>
      <c r="X121" s="16">
        <f ca="1"/>
        <v>0.89969803667213499</v>
      </c>
      <c r="Y121" s="16">
        <f ca="1"/>
        <v>-1.5212551479336176</v>
      </c>
      <c r="Z121" s="16">
        <f ca="1"/>
        <v>1.3595368112070092</v>
      </c>
      <c r="AA121" s="16">
        <f ca="1"/>
        <v>0.83517393118119854</v>
      </c>
      <c r="AB121" s="17">
        <f ca="1"/>
        <v>-0.43271403863417046</v>
      </c>
    </row>
    <row r="123" spans="4:28" ht="24" customHeight="1" x14ac:dyDescent="0.3">
      <c r="D123" s="3" t="s">
        <v>38</v>
      </c>
    </row>
    <row r="124" spans="4:28" ht="24" customHeight="1" x14ac:dyDescent="0.3">
      <c r="D124" s="7" t="s">
        <v>39</v>
      </c>
      <c r="E124" s="18" cm="1">
        <f t="array" aca="1" ref="E124:L126" ca="1">(_xlfn.RANDARRAY(F113,F112)-0.5)*2</f>
        <v>-0.69873430055843455</v>
      </c>
      <c r="F124" s="18">
        <f ca="1"/>
        <v>-0.83710385895575357</v>
      </c>
      <c r="G124" s="18">
        <f ca="1"/>
        <v>-0.50413873365579454</v>
      </c>
      <c r="H124" s="18">
        <f ca="1"/>
        <v>-0.4885593671521109</v>
      </c>
      <c r="I124" s="18">
        <f ca="1"/>
        <v>0.32694723486021848</v>
      </c>
      <c r="J124" s="18">
        <f ca="1"/>
        <v>8.3591827974995869E-2</v>
      </c>
      <c r="K124" s="18">
        <f ca="1"/>
        <v>0.14702185016109315</v>
      </c>
      <c r="L124" s="18">
        <f ca="1"/>
        <v>-0.27626159593135347</v>
      </c>
      <c r="N124" s="7" t="s">
        <v>40</v>
      </c>
      <c r="O124" s="9" cm="1">
        <f t="array" aca="1" ref="O124:T126" ca="1">MMULT(_xlfn.ANCHORARRAY(E124),_xlfn.ANCHORARRAY(O114))</f>
        <v>1.409349583779101</v>
      </c>
      <c r="P124" s="10">
        <f ca="1"/>
        <v>0.16879301320604945</v>
      </c>
      <c r="Q124" s="10">
        <f ca="1"/>
        <v>-1.3559531323004016E-2</v>
      </c>
      <c r="R124" s="10">
        <f ca="1"/>
        <v>-0.37366051200994566</v>
      </c>
      <c r="S124" s="10">
        <f ca="1"/>
        <v>-0.45341477825909121</v>
      </c>
      <c r="T124" s="11">
        <f ca="1"/>
        <v>-0.15198483908624419</v>
      </c>
    </row>
    <row r="125" spans="4:28" ht="24" customHeight="1" x14ac:dyDescent="0.3">
      <c r="E125" s="18">
        <f ca="1"/>
        <v>-0.31505456528554765</v>
      </c>
      <c r="F125" s="18">
        <f ca="1"/>
        <v>0.78520085543079876</v>
      </c>
      <c r="G125" s="18">
        <f ca="1"/>
        <v>0.71244819251629687</v>
      </c>
      <c r="H125" s="18">
        <f ca="1"/>
        <v>0.29772939749218619</v>
      </c>
      <c r="I125" s="18">
        <f ca="1"/>
        <v>-0.43815679743797187</v>
      </c>
      <c r="J125" s="18">
        <f ca="1"/>
        <v>0.59253372174541452</v>
      </c>
      <c r="K125" s="18">
        <f ca="1"/>
        <v>0.9509093740603487</v>
      </c>
      <c r="L125" s="18">
        <f ca="1"/>
        <v>-0.88174596231138436</v>
      </c>
      <c r="O125" s="12">
        <f ca="1"/>
        <v>-0.29712716132593642</v>
      </c>
      <c r="P125" s="13">
        <f ca="1"/>
        <v>2.1440448762154021</v>
      </c>
      <c r="Q125" s="13">
        <f ca="1"/>
        <v>-6.4935597734410086E-2</v>
      </c>
      <c r="R125" s="13">
        <f ca="1"/>
        <v>-0.75264785151039681</v>
      </c>
      <c r="S125" s="13">
        <f ca="1"/>
        <v>-1.3633947901560786</v>
      </c>
      <c r="T125" s="14">
        <f ca="1"/>
        <v>0.78074498236540824</v>
      </c>
    </row>
    <row r="126" spans="4:28" ht="24" customHeight="1" x14ac:dyDescent="0.3">
      <c r="E126" s="18">
        <f ca="1"/>
        <v>-0.84258320259617703</v>
      </c>
      <c r="F126" s="18">
        <f ca="1"/>
        <v>-0.83667912849284187</v>
      </c>
      <c r="G126" s="18">
        <f ca="1"/>
        <v>0.93231851162115476</v>
      </c>
      <c r="H126" s="18">
        <f ca="1"/>
        <v>-0.93477401946876437</v>
      </c>
      <c r="I126" s="18">
        <f ca="1"/>
        <v>0.90041621519806014</v>
      </c>
      <c r="J126" s="18">
        <f ca="1"/>
        <v>-0.61407532669091136</v>
      </c>
      <c r="K126" s="18">
        <f ca="1"/>
        <v>0.26232582393346959</v>
      </c>
      <c r="L126" s="18">
        <f ca="1"/>
        <v>0.83967095277100157</v>
      </c>
      <c r="O126" s="15">
        <f ca="1"/>
        <v>-0.32085478176483673</v>
      </c>
      <c r="P126" s="16">
        <f ca="1"/>
        <v>-0.53160915713545365</v>
      </c>
      <c r="Q126" s="16">
        <f ca="1"/>
        <v>1.6037309870057626</v>
      </c>
      <c r="R126" s="16">
        <f ca="1"/>
        <v>-1.9156111294088316</v>
      </c>
      <c r="S126" s="16">
        <f ca="1"/>
        <v>-0.80548685650771401</v>
      </c>
      <c r="T126" s="17">
        <f ca="1"/>
        <v>0.55291792175321164</v>
      </c>
    </row>
    <row r="129" spans="4:20" ht="24" customHeight="1" x14ac:dyDescent="0.3">
      <c r="D129" s="3" t="s">
        <v>41</v>
      </c>
    </row>
    <row r="130" spans="4:20" ht="24" customHeight="1" x14ac:dyDescent="0.3">
      <c r="D130" s="7" t="s">
        <v>42</v>
      </c>
      <c r="E130" s="18" cm="1">
        <f t="array" aca="1" ref="E130:G137" ca="1">(_xlfn.RANDARRAY(F112,F113)-0.5)*2</f>
        <v>-0.43997250713126279</v>
      </c>
      <c r="F130" s="18">
        <f ca="1"/>
        <v>0.66090192462879394</v>
      </c>
      <c r="G130" s="18">
        <f ca="1"/>
        <v>0.5149268726227425</v>
      </c>
      <c r="N130" s="7" t="s">
        <v>43</v>
      </c>
      <c r="O130" s="9" cm="1">
        <f t="array" aca="1" ref="O130:T137" ca="1">MMULT(_xlfn.ANCHORARRAY(E130),_xlfn.ANCHORARRAY(O124))</f>
        <v>-0.98166373191971412</v>
      </c>
      <c r="P130" s="10">
        <f ca="1"/>
        <v>1.0689992592333866</v>
      </c>
      <c r="Q130" s="10">
        <f ca="1"/>
        <v>0.78885394113917551</v>
      </c>
      <c r="R130" s="10">
        <f ca="1"/>
        <v>-1.3194257093737902</v>
      </c>
      <c r="S130" s="10">
        <f ca="1"/>
        <v>-1.1163470320422459</v>
      </c>
      <c r="T130" s="11">
        <f ca="1"/>
        <v>0.86757730845373593</v>
      </c>
    </row>
    <row r="131" spans="4:20" ht="24" customHeight="1" x14ac:dyDescent="0.3">
      <c r="E131" s="18">
        <f ca="1"/>
        <v>0.46590831150336554</v>
      </c>
      <c r="F131" s="18">
        <f ca="1"/>
        <v>0.77862010796341785</v>
      </c>
      <c r="G131" s="18">
        <f ca="1"/>
        <v>-0.16159841322386059</v>
      </c>
      <c r="O131" s="12">
        <f ca="1"/>
        <v>0.47712812607451316</v>
      </c>
      <c r="P131" s="13">
        <f ca="1"/>
        <v>1.8339457170220081</v>
      </c>
      <c r="Q131" s="13">
        <f ca="1"/>
        <v>-0.31603804320018025</v>
      </c>
      <c r="R131" s="13">
        <f ca="1"/>
        <v>-0.45055857076106182</v>
      </c>
      <c r="S131" s="13">
        <f ca="1"/>
        <v>-1.1426509145731314</v>
      </c>
      <c r="T131" s="14">
        <f ca="1"/>
        <v>0.4477420839101145</v>
      </c>
    </row>
    <row r="132" spans="4:20" ht="24" customHeight="1" x14ac:dyDescent="0.3">
      <c r="E132" s="18">
        <f ca="1"/>
        <v>-0.78435815127394015</v>
      </c>
      <c r="F132" s="18">
        <f ca="1"/>
        <v>-0.18305331469667774</v>
      </c>
      <c r="G132" s="18">
        <f ca="1"/>
        <v>-0.68133477163391287</v>
      </c>
      <c r="O132" s="12">
        <f ca="1"/>
        <v>-0.83243520280315142</v>
      </c>
      <c r="P132" s="13">
        <f ca="1"/>
        <v>-0.16266489356053088</v>
      </c>
      <c r="Q132" s="13">
        <f ca="1"/>
        <v>-1.0701554804660547</v>
      </c>
      <c r="R132" s="13">
        <f ca="1"/>
        <v>1.7360308238176541</v>
      </c>
      <c r="S132" s="13">
        <f ca="1"/>
        <v>1.1540197162466375</v>
      </c>
      <c r="T132" s="14">
        <f ca="1"/>
        <v>-0.40042961549745554</v>
      </c>
    </row>
    <row r="133" spans="4:20" ht="24" customHeight="1" x14ac:dyDescent="0.3">
      <c r="E133" s="18">
        <f ca="1"/>
        <v>0.80550803398184634</v>
      </c>
      <c r="F133" s="18">
        <f ca="1"/>
        <v>-0.75977248527168495</v>
      </c>
      <c r="G133" s="18">
        <f ca="1"/>
        <v>-0.60214805923710557</v>
      </c>
      <c r="O133" s="12">
        <f ca="1"/>
        <v>1.5541935383620062</v>
      </c>
      <c r="P133" s="13">
        <f ca="1"/>
        <v>-1.1729147536769342</v>
      </c>
      <c r="Q133" s="13">
        <f ca="1"/>
        <v>-0.92726953230836073</v>
      </c>
      <c r="R133" s="13">
        <f ca="1"/>
        <v>1.4243361080971948</v>
      </c>
      <c r="S133" s="13">
        <f ca="1"/>
        <v>1.1556629488966728</v>
      </c>
      <c r="T133" s="14">
        <f ca="1"/>
        <v>-1.048552018043682</v>
      </c>
    </row>
    <row r="134" spans="4:20" ht="24" customHeight="1" x14ac:dyDescent="0.3">
      <c r="E134" s="18">
        <f ca="1"/>
        <v>-0.77244821598732694</v>
      </c>
      <c r="F134" s="18">
        <f ca="1"/>
        <v>-0.38222948407581914</v>
      </c>
      <c r="G134" s="18">
        <f ca="1"/>
        <v>-0.55361144968741272</v>
      </c>
      <c r="O134" s="12">
        <f ca="1"/>
        <v>-0.7974499292421533</v>
      </c>
      <c r="P134" s="13">
        <f ca="1"/>
        <v>-0.65559611264449291</v>
      </c>
      <c r="Q134" s="13">
        <f ca="1"/>
        <v>-0.85254950082462821</v>
      </c>
      <c r="R134" s="13">
        <f ca="1"/>
        <v>1.6368218502499516</v>
      </c>
      <c r="S134" s="13">
        <f ca="1"/>
        <v>1.3172958701369346</v>
      </c>
      <c r="T134" s="14">
        <f ca="1"/>
        <v>-0.48712502621497117</v>
      </c>
    </row>
    <row r="135" spans="4:20" ht="24" customHeight="1" x14ac:dyDescent="0.3">
      <c r="E135" s="18">
        <f ca="1"/>
        <v>0.16570547772402211</v>
      </c>
      <c r="F135" s="18">
        <f ca="1"/>
        <v>0.6633480396201068</v>
      </c>
      <c r="G135" s="18">
        <f ca="1"/>
        <v>-5.4888169024038813E-2</v>
      </c>
      <c r="O135" s="12">
        <f ca="1"/>
        <v>5.4049357570499959E-2</v>
      </c>
      <c r="P135" s="13">
        <f ca="1"/>
        <v>1.4793969456563847</v>
      </c>
      <c r="Q135" s="13">
        <f ca="1"/>
        <v>-0.13334764755813389</v>
      </c>
      <c r="R135" s="13">
        <f ca="1"/>
        <v>-0.45604068301759593</v>
      </c>
      <c r="S135" s="13">
        <f ca="1"/>
        <v>-0.93532687499021872</v>
      </c>
      <c r="T135" s="14">
        <f ca="1"/>
        <v>0.46237228078212306</v>
      </c>
    </row>
    <row r="136" spans="4:20" ht="24" customHeight="1" x14ac:dyDescent="0.3">
      <c r="E136" s="18">
        <f ca="1"/>
        <v>-9.9521664584195868E-2</v>
      </c>
      <c r="F136" s="18">
        <f ca="1"/>
        <v>0.75619163474130602</v>
      </c>
      <c r="G136" s="18">
        <f ca="1"/>
        <v>3.9165825163130386E-2</v>
      </c>
      <c r="O136" s="12">
        <f ca="1"/>
        <v>-0.37751243269319934</v>
      </c>
      <c r="P136" s="13">
        <f ca="1"/>
        <v>1.5836893269561116</v>
      </c>
      <c r="Q136" s="13">
        <f ca="1"/>
        <v>1.5057158770321724E-2</v>
      </c>
      <c r="R136" s="13">
        <f ca="1"/>
        <v>-0.60698518364853904</v>
      </c>
      <c r="S136" s="13">
        <f ca="1"/>
        <v>-1.0174106990796667</v>
      </c>
      <c r="T136" s="14">
        <f ca="1"/>
        <v>0.62717409536134205</v>
      </c>
    </row>
    <row r="137" spans="4:20" ht="24" customHeight="1" x14ac:dyDescent="0.3">
      <c r="E137" s="18">
        <f ca="1"/>
        <v>-9.1006560454886642E-2</v>
      </c>
      <c r="F137" s="18">
        <f ca="1"/>
        <v>0.2428211668448963</v>
      </c>
      <c r="G137" s="18">
        <f ca="1"/>
        <v>-0.94510735358681508</v>
      </c>
      <c r="O137" s="15">
        <f ca="1"/>
        <v>0.10283339156670224</v>
      </c>
      <c r="P137" s="16">
        <f ca="1"/>
        <v>1.0076859306925523</v>
      </c>
      <c r="Q137" s="16">
        <f ca="1"/>
        <v>-1.5302316802987403</v>
      </c>
      <c r="R137" s="16">
        <f ca="1"/>
        <v>1.661704893465809</v>
      </c>
      <c r="S137" s="16">
        <f ca="1"/>
        <v>0.47147415691579164</v>
      </c>
      <c r="T137" s="17">
        <f ca="1"/>
        <v>-0.31915376870610468</v>
      </c>
    </row>
    <row r="145" spans="1:82" ht="48" customHeight="1" thickBot="1" x14ac:dyDescent="0.95">
      <c r="A145" s="5" t="s">
        <v>45</v>
      </c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</row>
    <row r="146" spans="1:82" ht="24" customHeight="1" thickTop="1" x14ac:dyDescent="0.3"/>
    <row r="148" spans="1:82" ht="24" customHeight="1" x14ac:dyDescent="0.3">
      <c r="E148" s="7" t="s">
        <v>4</v>
      </c>
      <c r="F148" s="8">
        <v>6</v>
      </c>
      <c r="N148" s="7" t="s">
        <v>8</v>
      </c>
      <c r="O148" s="8" cm="1">
        <f t="array" ref="O148:T148">_xlfn.SEQUENCE(1,F148,1)</f>
        <v>1</v>
      </c>
      <c r="P148" s="8">
        <v>2</v>
      </c>
      <c r="Q148" s="8">
        <v>3</v>
      </c>
      <c r="R148" s="8">
        <v>4</v>
      </c>
      <c r="S148" s="8">
        <v>5</v>
      </c>
      <c r="T148" s="8">
        <v>6</v>
      </c>
    </row>
    <row r="149" spans="1:82" ht="24" customHeight="1" x14ac:dyDescent="0.3">
      <c r="E149" s="7" t="s">
        <v>5</v>
      </c>
      <c r="F149" s="8">
        <v>8</v>
      </c>
    </row>
    <row r="150" spans="1:82" ht="24" customHeight="1" x14ac:dyDescent="0.3">
      <c r="E150" s="7" t="s">
        <v>46</v>
      </c>
      <c r="F150" s="8">
        <v>3</v>
      </c>
      <c r="O150" s="8" t="str" cm="1">
        <f t="array" ref="O150:T150">"x"&amp;_xlfn.ANCHORARRAY(O148)</f>
        <v>x1</v>
      </c>
      <c r="P150" s="8" t="str">
        <v>x2</v>
      </c>
      <c r="Q150" s="8" t="str">
        <v>x3</v>
      </c>
      <c r="R150" s="8" t="str">
        <v>x4</v>
      </c>
      <c r="S150" s="8" t="str">
        <v>x5</v>
      </c>
      <c r="T150" s="8" t="str">
        <v>x6</v>
      </c>
    </row>
    <row r="151" spans="1:82" ht="24" customHeight="1" x14ac:dyDescent="0.3">
      <c r="E151" s="7" t="s">
        <v>47</v>
      </c>
      <c r="F151" s="8">
        <v>2</v>
      </c>
      <c r="N151" s="7" t="s">
        <v>9</v>
      </c>
      <c r="O151" s="9" cm="1">
        <f t="array" aca="1" ref="O151:T158" ca="1">(_xlfn.RANDARRAY(F149,F148)-0.5)*2</f>
        <v>-0.38935349439557054</v>
      </c>
      <c r="P151" s="10">
        <f ca="1"/>
        <v>0.23311497161090422</v>
      </c>
      <c r="Q151" s="10">
        <f ca="1"/>
        <v>-0.31189851288339998</v>
      </c>
      <c r="R151" s="10">
        <f ca="1"/>
        <v>-6.1707846730607141E-2</v>
      </c>
      <c r="S151" s="10">
        <f ca="1"/>
        <v>0.60356533494224562</v>
      </c>
      <c r="T151" s="11">
        <f ca="1"/>
        <v>0.73923408202066154</v>
      </c>
    </row>
    <row r="152" spans="1:82" ht="24" customHeight="1" x14ac:dyDescent="0.3">
      <c r="E152" s="7" t="s">
        <v>48</v>
      </c>
      <c r="F152" s="8">
        <v>3</v>
      </c>
      <c r="O152" s="12">
        <f ca="1"/>
        <v>-0.2166076229046241</v>
      </c>
      <c r="P152" s="13">
        <f ca="1"/>
        <v>0.80580427801215349</v>
      </c>
      <c r="Q152" s="13">
        <f ca="1"/>
        <v>0.27103147660061389</v>
      </c>
      <c r="R152" s="13">
        <f ca="1"/>
        <v>0.40342047373097589</v>
      </c>
      <c r="S152" s="13">
        <f ca="1"/>
        <v>0.36422986682615965</v>
      </c>
      <c r="T152" s="14">
        <f ca="1"/>
        <v>-0.85006588647354642</v>
      </c>
    </row>
    <row r="153" spans="1:82" ht="24" customHeight="1" x14ac:dyDescent="0.3">
      <c r="O153" s="12">
        <f ca="1"/>
        <v>0.19990890684658957</v>
      </c>
      <c r="P153" s="13">
        <f ca="1"/>
        <v>-0.50041709829652525</v>
      </c>
      <c r="Q153" s="13">
        <f ca="1"/>
        <v>-0.33136592818523303</v>
      </c>
      <c r="R153" s="13">
        <f ca="1"/>
        <v>0.16146082094721992</v>
      </c>
      <c r="S153" s="13">
        <f ca="1"/>
        <v>-0.78348318284817831</v>
      </c>
      <c r="T153" s="14">
        <f ca="1"/>
        <v>-0.75865467925089902</v>
      </c>
    </row>
    <row r="154" spans="1:82" ht="24" customHeight="1" x14ac:dyDescent="0.3">
      <c r="O154" s="12">
        <f ca="1"/>
        <v>0.45272769824347892</v>
      </c>
      <c r="P154" s="13">
        <f ca="1"/>
        <v>0.88909437236095101</v>
      </c>
      <c r="Q154" s="13">
        <f ca="1"/>
        <v>-0.40908250429941795</v>
      </c>
      <c r="R154" s="13">
        <f ca="1"/>
        <v>0.30388056671343167</v>
      </c>
      <c r="S154" s="13">
        <f ca="1"/>
        <v>-0.93412005822530109</v>
      </c>
      <c r="T154" s="14">
        <f ca="1"/>
        <v>-8.6031076556558617E-3</v>
      </c>
    </row>
    <row r="155" spans="1:82" ht="24" customHeight="1" x14ac:dyDescent="0.3">
      <c r="O155" s="12">
        <f ca="1"/>
        <v>-0.73983876030870332</v>
      </c>
      <c r="P155" s="13">
        <f ca="1"/>
        <v>-0.46860722282646927</v>
      </c>
      <c r="Q155" s="13">
        <f ca="1"/>
        <v>-0.47613585432819061</v>
      </c>
      <c r="R155" s="13">
        <f ca="1"/>
        <v>-0.83022659320310055</v>
      </c>
      <c r="S155" s="13">
        <f ca="1"/>
        <v>0.17045988023085412</v>
      </c>
      <c r="T155" s="14">
        <f ca="1"/>
        <v>-0.77496824362892847</v>
      </c>
    </row>
    <row r="156" spans="1:82" ht="24" customHeight="1" x14ac:dyDescent="0.3">
      <c r="O156" s="12">
        <f ca="1"/>
        <v>-0.93032662949369094</v>
      </c>
      <c r="P156" s="13">
        <f ca="1"/>
        <v>-0.87891854611406783</v>
      </c>
      <c r="Q156" s="13">
        <f ca="1"/>
        <v>0.58592125507522175</v>
      </c>
      <c r="R156" s="13">
        <f ca="1"/>
        <v>-0.70766476490456531</v>
      </c>
      <c r="S156" s="13">
        <f ca="1"/>
        <v>0.86264989676073656</v>
      </c>
      <c r="T156" s="14">
        <f ca="1"/>
        <v>0.19283117738906963</v>
      </c>
    </row>
    <row r="157" spans="1:82" ht="24" customHeight="1" x14ac:dyDescent="0.3">
      <c r="O157" s="12">
        <f ca="1"/>
        <v>-0.43422752554486177</v>
      </c>
      <c r="P157" s="13">
        <f ca="1"/>
        <v>0.36826662169980962</v>
      </c>
      <c r="Q157" s="13">
        <f ca="1"/>
        <v>0.19506125151292153</v>
      </c>
      <c r="R157" s="13">
        <f ca="1"/>
        <v>0.23755291313064131</v>
      </c>
      <c r="S157" s="13">
        <f ca="1"/>
        <v>0.16417226562491782</v>
      </c>
      <c r="T157" s="14">
        <f ca="1"/>
        <v>0.29323432734590016</v>
      </c>
    </row>
    <row r="158" spans="1:82" ht="24" customHeight="1" x14ac:dyDescent="0.3">
      <c r="O158" s="15">
        <f ca="1"/>
        <v>-0.59904533347078859</v>
      </c>
      <c r="P158" s="16">
        <f ca="1"/>
        <v>0.16206254237458362</v>
      </c>
      <c r="Q158" s="16">
        <f ca="1"/>
        <v>0.40153085433729707</v>
      </c>
      <c r="R158" s="16">
        <f ca="1"/>
        <v>0.22760576218044104</v>
      </c>
      <c r="S158" s="16">
        <f ca="1"/>
        <v>0.22703819521557067</v>
      </c>
      <c r="T158" s="17">
        <f ca="1"/>
        <v>-7.409821238230796E-2</v>
      </c>
    </row>
    <row r="160" spans="1:82" ht="24" customHeight="1" x14ac:dyDescent="0.3">
      <c r="D160" s="3" t="s">
        <v>49</v>
      </c>
      <c r="U160" s="3" t="s">
        <v>51</v>
      </c>
      <c r="W160" s="3" t="s">
        <v>53</v>
      </c>
    </row>
    <row r="161" spans="4:39" ht="24" customHeight="1" x14ac:dyDescent="0.3">
      <c r="D161" s="7" t="s">
        <v>50</v>
      </c>
      <c r="E161" s="18" cm="1">
        <f t="array" aca="1" ref="E161:L166" ca="1">(_xlfn.RANDARRAY(F151*F152,F149)-0.5)*2</f>
        <v>-1.2304220524637532E-2</v>
      </c>
      <c r="F161" s="18">
        <f ca="1"/>
        <v>-0.39387893925895279</v>
      </c>
      <c r="G161" s="18">
        <f ca="1"/>
        <v>0.14663750660212083</v>
      </c>
      <c r="H161" s="18">
        <f ca="1"/>
        <v>-0.73730459556875561</v>
      </c>
      <c r="I161" s="18">
        <f ca="1"/>
        <v>-2.0997954251761985E-2</v>
      </c>
      <c r="J161" s="18">
        <f ca="1"/>
        <v>-0.15572759335530995</v>
      </c>
      <c r="K161" s="18">
        <f ca="1"/>
        <v>0.42334971487034556</v>
      </c>
      <c r="L161" s="18">
        <f ca="1"/>
        <v>0.3533372709879159</v>
      </c>
      <c r="N161" s="7" t="s">
        <v>14</v>
      </c>
      <c r="O161" s="9" cm="1">
        <f t="array" aca="1" ref="O161:T166" ca="1">MMULT(_xlfn.ANCHORARRAY(E161),_xlfn.ANCHORARRAY(O151))</f>
        <v>-0.44945871177331975</v>
      </c>
      <c r="P161" s="10">
        <f ca="1"/>
        <v>-0.68929094576984118</v>
      </c>
      <c r="Q161" s="10">
        <f ca="1"/>
        <v>0.29332052791679747</v>
      </c>
      <c r="R161" s="10">
        <f ca="1"/>
        <v>-4.9890339784393611E-2</v>
      </c>
      <c r="S161" s="10">
        <f ca="1"/>
        <v>0.4347597538226588</v>
      </c>
      <c r="T161" s="11">
        <f ca="1"/>
        <v>0.30502585204467053</v>
      </c>
      <c r="U161" s="7" cm="1">
        <f t="array" ref="U161:U166">_xlfn.SEQUENCE(F151*F152,1)</f>
        <v>1</v>
      </c>
      <c r="V161" s="7" t="s">
        <v>54</v>
      </c>
      <c r="W161" s="18" cm="1">
        <f t="array" aca="1" ref="W161:AD163" ca="1">(_xlfn.RANDARRAY(F150,F149)-0.5)*2</f>
        <v>-0.72394429040855979</v>
      </c>
      <c r="X161" s="18">
        <f ca="1"/>
        <v>0.54985669976523299</v>
      </c>
      <c r="Y161" s="18">
        <f ca="1"/>
        <v>0.80045269389531359</v>
      </c>
      <c r="Z161" s="18">
        <f ca="1"/>
        <v>0.2241376548981826</v>
      </c>
      <c r="AA161" s="18">
        <f ca="1"/>
        <v>0.85188784688991426</v>
      </c>
      <c r="AB161" s="18">
        <f ca="1"/>
        <v>0.93711276495148832</v>
      </c>
      <c r="AC161" s="18">
        <f ca="1"/>
        <v>-0.4790551052059735</v>
      </c>
      <c r="AD161" s="18">
        <f ca="1"/>
        <v>-0.25234798564680849</v>
      </c>
      <c r="AF161" s="7" t="s">
        <v>55</v>
      </c>
      <c r="AG161" s="9" cm="1">
        <f t="array" aca="1" ref="AG161:AL163" ca="1">MMULT(_xlfn.ANCHORARRAY(W161),_xlfn.ANCHORARRAY(O151))</f>
        <v>-0.71863577833748793</v>
      </c>
      <c r="AH161" s="10">
        <f ca="1"/>
        <v>-1.3671288068666501</v>
      </c>
      <c r="AI161" s="10">
        <f ca="1"/>
        <v>-3.3418573225103818E-2</v>
      </c>
      <c r="AJ161" s="10">
        <f ca="1"/>
        <v>-1.0778091005171246</v>
      </c>
      <c r="AK161" s="10">
        <f ca="1"/>
        <v>-0.25551341208631734</v>
      </c>
      <c r="AL161" s="11">
        <f ca="1"/>
        <v>-2.2130325155542376</v>
      </c>
    </row>
    <row r="162" spans="4:39" ht="24" customHeight="1" x14ac:dyDescent="0.3">
      <c r="E162" s="18">
        <f ca="1"/>
        <v>0.24603770483312237</v>
      </c>
      <c r="F162" s="18">
        <f ca="1"/>
        <v>-0.80786271948130883</v>
      </c>
      <c r="G162" s="18">
        <f ca="1"/>
        <v>-0.80661574913187328</v>
      </c>
      <c r="H162" s="18">
        <f ca="1"/>
        <v>-0.56744165983844885</v>
      </c>
      <c r="I162" s="18">
        <f ca="1"/>
        <v>-0.75060187276825596</v>
      </c>
      <c r="J162" s="18">
        <f ca="1"/>
        <v>9.5337342424677729E-2</v>
      </c>
      <c r="K162" s="18">
        <f ca="1"/>
        <v>-0.11436521887651718</v>
      </c>
      <c r="L162" s="18">
        <f ca="1"/>
        <v>-0.92449695647224939</v>
      </c>
      <c r="O162" s="12">
        <f ca="1"/>
        <v>0.73115295814516901</v>
      </c>
      <c r="P162" s="13">
        <f ca="1"/>
        <v>-0.61848855593892682</v>
      </c>
      <c r="Q162" s="13">
        <f ca="1"/>
        <v>0.2234467754398598</v>
      </c>
      <c r="R162" s="13">
        <f ca="1"/>
        <v>-0.32564801984447772</v>
      </c>
      <c r="S162" s="13">
        <f ca="1"/>
        <v>0.74190413548415435</v>
      </c>
      <c r="T162" s="14">
        <f ca="1"/>
        <v>2.1204849605750029</v>
      </c>
      <c r="U162" s="7">
        <v>2</v>
      </c>
      <c r="W162" s="18">
        <f ca="1"/>
        <v>-0.5784760150416135</v>
      </c>
      <c r="X162" s="18">
        <f ca="1"/>
        <v>0.2026683067627344</v>
      </c>
      <c r="Y162" s="18">
        <f ca="1"/>
        <v>-0.59356192262578533</v>
      </c>
      <c r="Z162" s="18">
        <f ca="1"/>
        <v>-0.91914179192232881</v>
      </c>
      <c r="AA162" s="18">
        <f ca="1"/>
        <v>0.65130062286994317</v>
      </c>
      <c r="AB162" s="18">
        <f ca="1"/>
        <v>-0.70162440835724738</v>
      </c>
      <c r="AC162" s="18">
        <f ca="1"/>
        <v>-0.7207817691668672</v>
      </c>
      <c r="AD162" s="18">
        <f ca="1"/>
        <v>-0.48150858888652293</v>
      </c>
      <c r="AG162" s="12">
        <f ca="1"/>
        <v>0.41886407766710287</v>
      </c>
      <c r="AH162" s="13">
        <f ca="1"/>
        <v>-0.52372353523810566</v>
      </c>
      <c r="AI162" s="13">
        <f ca="1"/>
        <v>-0.24709505871409973</v>
      </c>
      <c r="AJ162" s="13">
        <f ca="1"/>
        <v>-0.58271943398345516</v>
      </c>
      <c r="AK162" s="13">
        <f ca="1"/>
        <v>0.32641553481920038</v>
      </c>
      <c r="AL162" s="14">
        <f ca="1"/>
        <v>-0.95740598607668126</v>
      </c>
    </row>
    <row r="163" spans="4:39" ht="24" customHeight="1" x14ac:dyDescent="0.3">
      <c r="E163" s="18">
        <f ca="1"/>
        <v>0.28761265431481409</v>
      </c>
      <c r="F163" s="18">
        <f ca="1"/>
        <v>-0.98611328272836074</v>
      </c>
      <c r="G163" s="18">
        <f ca="1"/>
        <v>0.37530428408025873</v>
      </c>
      <c r="H163" s="18">
        <f ca="1"/>
        <v>-3.3998428154600191E-2</v>
      </c>
      <c r="I163" s="18">
        <f ca="1"/>
        <v>0.60126247626664497</v>
      </c>
      <c r="J163" s="18">
        <f ca="1"/>
        <v>0.22312047580374372</v>
      </c>
      <c r="K163" s="18">
        <f ca="1"/>
        <v>-0.77226061476835639</v>
      </c>
      <c r="L163" s="18">
        <f ca="1"/>
        <v>-0.45035123599310589</v>
      </c>
      <c r="O163" s="12">
        <f ca="1"/>
        <v>0.11395671802391344</v>
      </c>
      <c r="P163" s="13">
        <f ca="1"/>
        <v>-1.7808475153745811</v>
      </c>
      <c r="Q163" s="13">
        <f ca="1"/>
        <v>-0.95444822074282132</v>
      </c>
      <c r="R163" s="13">
        <f ca="1"/>
        <v>-1.3083346604614685</v>
      </c>
      <c r="S163" s="13">
        <f ca="1"/>
        <v>-0.38192958445228731</v>
      </c>
      <c r="T163" s="14">
        <f ca="1"/>
        <v>0.1504226376933254</v>
      </c>
      <c r="U163" s="7">
        <v>3</v>
      </c>
      <c r="W163" s="18">
        <f ca="1"/>
        <v>0.55358324182748309</v>
      </c>
      <c r="X163" s="18">
        <f ca="1"/>
        <v>0.66634283216230195</v>
      </c>
      <c r="Y163" s="18">
        <f ca="1"/>
        <v>0.59213208665619144</v>
      </c>
      <c r="Z163" s="18">
        <f ca="1"/>
        <v>6.1163865321999467E-2</v>
      </c>
      <c r="AA163" s="18">
        <f ca="1"/>
        <v>0.61267251968992831</v>
      </c>
      <c r="AB163" s="18">
        <f ca="1"/>
        <v>-0.84492932593570513</v>
      </c>
      <c r="AC163" s="18">
        <f ca="1"/>
        <v>0.62832904881376406</v>
      </c>
      <c r="AD163" s="18">
        <f ca="1"/>
        <v>-7.1634623889279325E-2</v>
      </c>
      <c r="AG163" s="15">
        <f ca="1"/>
        <v>-0.1109554588664526</v>
      </c>
      <c r="AH163" s="16">
        <f ca="1"/>
        <v>1.099362487938391</v>
      </c>
      <c r="AI163" s="16">
        <f ca="1"/>
        <v>-0.90627363965655872</v>
      </c>
      <c r="AJ163" s="16">
        <f ca="1"/>
        <v>0.57107519086538605</v>
      </c>
      <c r="AK163" s="16">
        <f ca="1"/>
        <v>-0.48178601324727349</v>
      </c>
      <c r="AL163" s="17">
        <f ca="1"/>
        <v>-1.05513250799618</v>
      </c>
    </row>
    <row r="164" spans="4:39" ht="24" customHeight="1" x14ac:dyDescent="0.3">
      <c r="E164" s="18">
        <f ca="1"/>
        <v>-0.35737815764055059</v>
      </c>
      <c r="F164" s="18">
        <f ca="1"/>
        <v>-0.76283162937065718</v>
      </c>
      <c r="G164" s="18">
        <f ca="1"/>
        <v>-0.84331199039122007</v>
      </c>
      <c r="H164" s="18">
        <f ca="1"/>
        <v>0.95245067232788205</v>
      </c>
      <c r="I164" s="18">
        <f ca="1"/>
        <v>0.23193595323530314</v>
      </c>
      <c r="J164" s="18">
        <f ca="1"/>
        <v>-0.37183426247539542</v>
      </c>
      <c r="K164" s="18">
        <f ca="1"/>
        <v>0.4229850690828787</v>
      </c>
      <c r="L164" s="18">
        <f ca="1"/>
        <v>-0.54874198337433366</v>
      </c>
      <c r="O164" s="12">
        <f ca="1"/>
        <v>0.88637847541216597</v>
      </c>
      <c r="P164" s="13">
        <f ca="1"/>
        <v>0.8557890104241368</v>
      </c>
      <c r="Q164" s="13">
        <f ca="1"/>
        <v>-0.67159917425383631</v>
      </c>
      <c r="R164" s="13">
        <f ca="1"/>
        <v>-8.6260349283412488E-2</v>
      </c>
      <c r="S164" s="13">
        <f ca="1"/>
        <v>-1.0588996310739798</v>
      </c>
      <c r="T164" s="14">
        <f ca="1"/>
        <v>0.92910988815847584</v>
      </c>
      <c r="U164" s="7">
        <v>4</v>
      </c>
    </row>
    <row r="165" spans="4:39" ht="24" customHeight="1" x14ac:dyDescent="0.3">
      <c r="E165" s="18">
        <f ca="1"/>
        <v>-0.39855012482640362</v>
      </c>
      <c r="F165" s="18">
        <f ca="1"/>
        <v>0.84328623709355588</v>
      </c>
      <c r="G165" s="18">
        <f ca="1"/>
        <v>0.97918656348733757</v>
      </c>
      <c r="H165" s="18">
        <f ca="1"/>
        <v>0.12169553447636039</v>
      </c>
      <c r="I165" s="18">
        <f ca="1"/>
        <v>-0.79367923630867265</v>
      </c>
      <c r="J165" s="18">
        <f ca="1"/>
        <v>-0.91534102761916936</v>
      </c>
      <c r="K165" s="18">
        <f ca="1"/>
        <v>0.17262699163904438</v>
      </c>
      <c r="L165" s="18">
        <f ca="1"/>
        <v>-0.55159016182356702</v>
      </c>
      <c r="O165" s="12">
        <f ca="1"/>
        <v>1.917586627606275</v>
      </c>
      <c r="P165" s="13">
        <f ca="1"/>
        <v>1.3554274554438535</v>
      </c>
      <c r="Q165" s="13">
        <f ca="1"/>
        <v>-0.36761452757197866</v>
      </c>
      <c r="R165" s="13">
        <f ca="1"/>
        <v>1.7820249247906281</v>
      </c>
      <c r="S165" s="13">
        <f ca="1"/>
        <v>-1.8360562319163756</v>
      </c>
      <c r="T165" s="14">
        <f ca="1"/>
        <v>-1.2253202059523585</v>
      </c>
      <c r="U165" s="7">
        <v>5</v>
      </c>
    </row>
    <row r="166" spans="4:39" ht="24" customHeight="1" x14ac:dyDescent="0.3">
      <c r="E166" s="18">
        <f ca="1"/>
        <v>-0.13580188350442679</v>
      </c>
      <c r="F166" s="18">
        <f ca="1"/>
        <v>0.67848123228154922</v>
      </c>
      <c r="G166" s="18">
        <f ca="1"/>
        <v>5.0210951240477808E-2</v>
      </c>
      <c r="H166" s="18">
        <f ca="1"/>
        <v>-0.71266877797481021</v>
      </c>
      <c r="I166" s="18">
        <f ca="1"/>
        <v>-0.97450893819783824</v>
      </c>
      <c r="J166" s="18">
        <f ca="1"/>
        <v>-0.54886793790883504</v>
      </c>
      <c r="K166" s="18">
        <f ca="1"/>
        <v>-0.9612910019114107</v>
      </c>
      <c r="L166" s="18">
        <f ca="1"/>
        <v>0.23038955041134601</v>
      </c>
      <c r="O166" s="15">
        <f ca="1"/>
        <v>1.1043146233818262</v>
      </c>
      <c r="P166" s="16">
        <f ca="1"/>
        <v>0.47870767260413988</v>
      </c>
      <c r="Q166" s="16">
        <f ca="1"/>
        <v>0.54855144760524022</v>
      </c>
      <c r="R166" s="16">
        <f ca="1"/>
        <v>1.0951924186348183</v>
      </c>
      <c r="S166" s="16">
        <f ca="1"/>
        <v>4.6430943212119831E-2</v>
      </c>
      <c r="T166" s="17">
        <f ca="1"/>
        <v>-0.35868508238104041</v>
      </c>
      <c r="U166" s="7">
        <v>6</v>
      </c>
    </row>
    <row r="167" spans="4:39" ht="24" customHeight="1" x14ac:dyDescent="0.3">
      <c r="AM167" s="3" t="s">
        <v>51</v>
      </c>
    </row>
    <row r="168" spans="4:39" ht="24" customHeight="1" x14ac:dyDescent="0.3">
      <c r="D168" s="7" t="s">
        <v>52</v>
      </c>
      <c r="E168" s="18" cm="1">
        <f t="array" aca="1" ref="E168:L173" ca="1">(_xlfn.RANDARRAY(F151*F152,F149)-0.5)*2</f>
        <v>-0.84832225086881241</v>
      </c>
      <c r="F168" s="18">
        <f ca="1"/>
        <v>0.82353263893067608</v>
      </c>
      <c r="G168" s="18">
        <f ca="1"/>
        <v>0.63609905927177657</v>
      </c>
      <c r="H168" s="18">
        <f ca="1"/>
        <v>-0.15224589666377319</v>
      </c>
      <c r="I168" s="18">
        <f ca="1"/>
        <v>0.20125793135540215</v>
      </c>
      <c r="J168" s="18">
        <f ca="1"/>
        <v>-0.97881551076705975</v>
      </c>
      <c r="K168" s="18">
        <f ca="1"/>
        <v>-0.79563110118670322</v>
      </c>
      <c r="L168" s="18">
        <f ca="1"/>
        <v>-0.5409939639079977</v>
      </c>
      <c r="N168" s="7" t="s">
        <v>16</v>
      </c>
      <c r="O168" s="9" cm="1">
        <f t="array" aca="1" ref="O168:T173" ca="1">MMULT(_xlfn.ANCHORARRAY(E168),_xlfn.ANCHORARRAY(O151))</f>
        <v>1.6414342690892778</v>
      </c>
      <c r="P168" s="10">
        <f ca="1"/>
        <v>0.39748264109552295</v>
      </c>
      <c r="Q168" s="10">
        <f ca="1"/>
        <v>-0.70246420336809656</v>
      </c>
      <c r="R168" s="10">
        <f ca="1"/>
        <v>0.65446430597397887</v>
      </c>
      <c r="S168" s="10">
        <f ca="1"/>
        <v>-1.6317352398970544</v>
      </c>
      <c r="T168" s="11">
        <f ca="1"/>
        <v>-2.3463697811792521</v>
      </c>
      <c r="U168" s="7" cm="1">
        <f t="array" ref="U168:U173">_xlfn.SEQUENCE(F151*F152,1)</f>
        <v>1</v>
      </c>
      <c r="V168" s="7" t="s">
        <v>56</v>
      </c>
      <c r="W168" s="18" cm="1">
        <f t="array" aca="1" ref="W168:Y173" ca="1">(_xlfn.RANDARRAY(F151*F152,F150)-0.5)*2</f>
        <v>0.3234543774538019</v>
      </c>
      <c r="X168" s="18">
        <f ca="1"/>
        <v>-0.93217155765510062</v>
      </c>
      <c r="Y168" s="18">
        <f ca="1"/>
        <v>-0.85920947999750696</v>
      </c>
      <c r="AF168" s="7" t="s">
        <v>14</v>
      </c>
      <c r="AG168" s="9" cm="1">
        <f t="array" aca="1" ref="AG168:AL173" ca="1">MMULT(_xlfn.ANCHORARRAY(W168),_xlfn.ANCHORARRAY(AG161))</f>
        <v>-0.52756508590736129</v>
      </c>
      <c r="AH168" s="10">
        <f ca="1"/>
        <v>-0.89858628509098071</v>
      </c>
      <c r="AI168" s="10">
        <f ca="1"/>
        <v>0.99820450463724053</v>
      </c>
      <c r="AJ168" s="10">
        <f ca="1"/>
        <v>-0.29610080695247815</v>
      </c>
      <c r="AK168" s="10">
        <f ca="1"/>
        <v>2.7032900739548615E-2</v>
      </c>
      <c r="AL168" s="11">
        <f ca="1"/>
        <v>1.0832314282696638</v>
      </c>
      <c r="AM168" s="7" cm="1">
        <f t="array" ref="AM168:AM173">_xlfn.SEQUENCE(F151*F152,1)</f>
        <v>1</v>
      </c>
    </row>
    <row r="169" spans="4:39" ht="24" customHeight="1" x14ac:dyDescent="0.3">
      <c r="E169" s="18">
        <f ca="1"/>
        <v>0.893885661660204</v>
      </c>
      <c r="F169" s="18">
        <f ca="1"/>
        <v>0.13724851588257447</v>
      </c>
      <c r="G169" s="18">
        <f ca="1"/>
        <v>-0.74495410207464863</v>
      </c>
      <c r="H169" s="18">
        <f ca="1"/>
        <v>0.64205983255336907</v>
      </c>
      <c r="I169" s="18">
        <f ca="1"/>
        <v>-0.55812493704097488</v>
      </c>
      <c r="J169" s="18">
        <f ca="1"/>
        <v>0.55962082183839357</v>
      </c>
      <c r="K169" s="18">
        <f ca="1"/>
        <v>-0.6303049375070886</v>
      </c>
      <c r="L169" s="18">
        <f ca="1"/>
        <v>0.60716043978781098</v>
      </c>
      <c r="O169" s="12">
        <f ca="1"/>
        <v>-0.43373983702833668</v>
      </c>
      <c r="P169" s="13">
        <f ca="1"/>
        <v>0.89857107801326075</v>
      </c>
      <c r="Q169" s="13">
        <f ca="1"/>
        <v>0.457076630820204</v>
      </c>
      <c r="R169" s="13">
        <f ca="1"/>
        <v>0.13084637512062133</v>
      </c>
      <c r="S169" s="13">
        <f ca="1"/>
        <v>0.99539540533517923</v>
      </c>
      <c r="T169" s="14">
        <f ca="1"/>
        <v>1.4143845672736317</v>
      </c>
      <c r="U169" s="7">
        <v>2</v>
      </c>
      <c r="W169" s="18">
        <f ca="1"/>
        <v>-0.76113357129390735</v>
      </c>
      <c r="X169" s="18">
        <f ca="1"/>
        <v>-0.8361636606205356</v>
      </c>
      <c r="Y169" s="18">
        <f ca="1"/>
        <v>1.3487004607620978E-2</v>
      </c>
      <c r="AG169" s="12">
        <f ca="1"/>
        <v>0.19524243915604736</v>
      </c>
      <c r="AH169" s="13">
        <f ca="1"/>
        <v>1.4933133265072851</v>
      </c>
      <c r="AI169" s="13">
        <f ca="1"/>
        <v>0.21982499004818459</v>
      </c>
      <c r="AJ169" s="13">
        <f ca="1"/>
        <v>1.3153075986145049</v>
      </c>
      <c r="AK169" s="13">
        <f ca="1"/>
        <v>-8.4954822803635255E-2</v>
      </c>
      <c r="AL169" s="14">
        <f ca="1"/>
        <v>2.4707308589742327</v>
      </c>
      <c r="AM169" s="7">
        <v>2</v>
      </c>
    </row>
    <row r="170" spans="4:39" ht="24" customHeight="1" x14ac:dyDescent="0.3">
      <c r="E170" s="18">
        <f ca="1"/>
        <v>0.24426788556402101</v>
      </c>
      <c r="F170" s="18">
        <f ca="1"/>
        <v>3.7900176170205135E-2</v>
      </c>
      <c r="G170" s="18">
        <f ca="1"/>
        <v>-0.7312560992614805</v>
      </c>
      <c r="H170" s="18">
        <f ca="1"/>
        <v>0.538897072161308</v>
      </c>
      <c r="I170" s="18">
        <f ca="1"/>
        <v>0.16899458364679987</v>
      </c>
      <c r="J170" s="18">
        <f ca="1"/>
        <v>-0.46338407772601853</v>
      </c>
      <c r="K170" s="18">
        <f ca="1"/>
        <v>0.86836185239237595</v>
      </c>
      <c r="L170" s="18">
        <f ca="1"/>
        <v>0.95766033065874145</v>
      </c>
      <c r="O170" s="12">
        <f ca="1"/>
        <v>-0.65020576488473825</v>
      </c>
      <c r="P170" s="13">
        <f ca="1"/>
        <v>1.7356203658318432</v>
      </c>
      <c r="Q170" s="13">
        <f ca="1"/>
        <v>0.15788830225523456</v>
      </c>
      <c r="R170" s="13">
        <f ca="1"/>
        <v>0.65777528349117198</v>
      </c>
      <c r="S170" s="13">
        <f ca="1"/>
        <v>0.21982327145599892</v>
      </c>
      <c r="T170" s="14">
        <f ca="1"/>
        <v>0.66184042335181537</v>
      </c>
      <c r="U170" s="7">
        <v>3</v>
      </c>
      <c r="W170" s="18">
        <f ca="1"/>
        <v>-0.30687917942093179</v>
      </c>
      <c r="X170" s="18">
        <f ca="1"/>
        <v>0.79201844148700618</v>
      </c>
      <c r="Y170" s="18">
        <f ca="1"/>
        <v>-0.13979753130720196</v>
      </c>
      <c r="AG170" s="12">
        <f ca="1"/>
        <v>0.56779373118210985</v>
      </c>
      <c r="AH170" s="13">
        <f ca="1"/>
        <v>-0.14894349356092515</v>
      </c>
      <c r="AI170" s="13">
        <f ca="1"/>
        <v>-5.8753561460363729E-2</v>
      </c>
      <c r="AJ170" s="13">
        <f ca="1"/>
        <v>-0.21060226746242888</v>
      </c>
      <c r="AK170" s="13">
        <f ca="1"/>
        <v>0.4042913646670499</v>
      </c>
      <c r="AL170" s="14">
        <f ca="1"/>
        <v>6.8355325262183908E-2</v>
      </c>
      <c r="AM170" s="7">
        <v>3</v>
      </c>
    </row>
    <row r="171" spans="4:39" ht="24" customHeight="1" x14ac:dyDescent="0.3">
      <c r="E171" s="18">
        <f ca="1"/>
        <v>-0.45575401313151653</v>
      </c>
      <c r="F171" s="18">
        <f ca="1"/>
        <v>-0.69340484603291808</v>
      </c>
      <c r="G171" s="18">
        <f ca="1"/>
        <v>-0.19117333768679901</v>
      </c>
      <c r="H171" s="18">
        <f ca="1"/>
        <v>-0.57141395745513579</v>
      </c>
      <c r="I171" s="18">
        <f ca="1"/>
        <v>-0.37497353034689773</v>
      </c>
      <c r="J171" s="18">
        <f ca="1"/>
        <v>-0.92183896394620302</v>
      </c>
      <c r="K171" s="18">
        <f ca="1"/>
        <v>0.80667712835870997</v>
      </c>
      <c r="L171" s="18">
        <f ca="1"/>
        <v>0.3923158113097136</v>
      </c>
      <c r="O171" s="12">
        <f ca="1"/>
        <v>0.58046893308098135</v>
      </c>
      <c r="P171" s="13">
        <f ca="1"/>
        <v>0.26922242318459283</v>
      </c>
      <c r="Q171" s="13">
        <f ca="1"/>
        <v>0.20460989542757688</v>
      </c>
      <c r="R171" s="13">
        <f ca="1"/>
        <v>0.7884690774378218</v>
      </c>
      <c r="S171" s="13">
        <f ca="1"/>
        <v>-0.48172328862502306</v>
      </c>
      <c r="T171" s="14">
        <f ca="1"/>
        <v>0.72279019883118123</v>
      </c>
      <c r="U171" s="7">
        <v>4</v>
      </c>
      <c r="W171" s="18">
        <f ca="1"/>
        <v>-0.86081513373495522</v>
      </c>
      <c r="X171" s="18">
        <f ca="1"/>
        <v>0.11150991304143298</v>
      </c>
      <c r="Y171" s="18">
        <f ca="1"/>
        <v>0.39389212874357682</v>
      </c>
      <c r="AG171" s="12">
        <f ca="1"/>
        <v>0.6216155686245195</v>
      </c>
      <c r="AH171" s="13">
        <f ca="1"/>
        <v>1.5514750314785597</v>
      </c>
      <c r="AI171" s="13">
        <f ca="1"/>
        <v>-0.35576038807868904</v>
      </c>
      <c r="AJ171" s="13">
        <f ca="1"/>
        <v>1.0877574141939637</v>
      </c>
      <c r="AK171" s="13">
        <f ca="1"/>
        <v>6.6576661542370213E-2</v>
      </c>
      <c r="AL171" s="14">
        <f ca="1"/>
        <v>1.382643232902703</v>
      </c>
      <c r="AM171" s="7">
        <v>4</v>
      </c>
    </row>
    <row r="172" spans="4:39" ht="24" customHeight="1" x14ac:dyDescent="0.3">
      <c r="E172" s="18">
        <f ca="1"/>
        <v>-0.88850628915611862</v>
      </c>
      <c r="F172" s="18">
        <f ca="1"/>
        <v>-0.95819226473339603</v>
      </c>
      <c r="G172" s="18">
        <f ca="1"/>
        <v>-0.7068273052003935</v>
      </c>
      <c r="H172" s="18">
        <f ca="1"/>
        <v>-0.41635970530792799</v>
      </c>
      <c r="I172" s="18">
        <f ca="1"/>
        <v>-0.53213066194187908</v>
      </c>
      <c r="J172" s="18">
        <f ca="1"/>
        <v>0.25905261434663762</v>
      </c>
      <c r="K172" s="18">
        <f ca="1"/>
        <v>-1.9098717109717889E-3</v>
      </c>
      <c r="L172" s="18">
        <f ca="1"/>
        <v>0.82646660809381522</v>
      </c>
      <c r="O172" s="12">
        <f ca="1"/>
        <v>-0.1178781700066221</v>
      </c>
      <c r="P172" s="13">
        <f ca="1"/>
        <v>-0.84080408405776985</v>
      </c>
      <c r="Q172" s="13">
        <f ca="1"/>
        <v>1.158597704417901</v>
      </c>
      <c r="R172" s="13">
        <f ca="1"/>
        <v>-0.12625362178823396</v>
      </c>
      <c r="S172" s="13">
        <f ca="1"/>
        <v>0.37753414323846929</v>
      </c>
      <c r="T172" s="14">
        <f ca="1"/>
        <v>1.0980703026760756</v>
      </c>
      <c r="U172" s="7">
        <v>5</v>
      </c>
      <c r="W172" s="18">
        <f ca="1"/>
        <v>-0.26255903864841423</v>
      </c>
      <c r="X172" s="18">
        <f ca="1"/>
        <v>0.31854800260298743</v>
      </c>
      <c r="Y172" s="18">
        <f ca="1"/>
        <v>4.1576559234403732E-2</v>
      </c>
      <c r="AG172" s="12">
        <f ca="1"/>
        <v>0.31749948819370244</v>
      </c>
      <c r="AH172" s="13">
        <f ca="1"/>
        <v>0.23782864877303933</v>
      </c>
      <c r="AI172" s="13">
        <f ca="1"/>
        <v>-0.10761702860921907</v>
      </c>
      <c r="AJ172" s="13">
        <f ca="1"/>
        <v>0.12110775100522843</v>
      </c>
      <c r="AK172" s="13">
        <f ca="1"/>
        <v>0.15103536775631926</v>
      </c>
      <c r="AL172" s="14">
        <f ca="1"/>
        <v>0.23220314601788394</v>
      </c>
      <c r="AM172" s="7">
        <v>5</v>
      </c>
    </row>
    <row r="173" spans="4:39" ht="24" customHeight="1" x14ac:dyDescent="0.3">
      <c r="E173" s="18">
        <f ca="1"/>
        <v>0.72364830519138001</v>
      </c>
      <c r="F173" s="18">
        <f ca="1"/>
        <v>0.77094812805958268</v>
      </c>
      <c r="G173" s="18">
        <f ca="1"/>
        <v>-0.42053958325154728</v>
      </c>
      <c r="H173" s="18">
        <f ca="1"/>
        <v>-0.9407246519575847</v>
      </c>
      <c r="I173" s="18">
        <f ca="1"/>
        <v>-0.71955607438308444</v>
      </c>
      <c r="J173" s="18">
        <f ca="1"/>
        <v>0.63570065304175261</v>
      </c>
      <c r="K173" s="18">
        <f ca="1"/>
        <v>0.80983044682332794</v>
      </c>
      <c r="L173" s="18">
        <f ca="1"/>
        <v>0.54878540755530025</v>
      </c>
      <c r="O173" s="15">
        <f ca="1"/>
        <v>-1.6981617328515886</v>
      </c>
      <c r="P173" s="16">
        <f ca="1"/>
        <v>0.32960991892681818</v>
      </c>
      <c r="Q173" s="16">
        <f ca="1"/>
        <v>1.6008306498224101</v>
      </c>
      <c r="R173" s="16">
        <f ca="1"/>
        <v>0.37740881144352245</v>
      </c>
      <c r="S173" s="16">
        <f ca="1"/>
        <v>2.6090854317539049</v>
      </c>
      <c r="T173" s="17">
        <f ca="1"/>
        <v>1.0837483459963484</v>
      </c>
      <c r="U173" s="7">
        <v>6</v>
      </c>
      <c r="W173" s="18">
        <f ca="1"/>
        <v>-0.23855764838281646</v>
      </c>
      <c r="X173" s="18">
        <f ca="1"/>
        <v>0.35454543310535991</v>
      </c>
      <c r="Y173" s="18">
        <f ca="1"/>
        <v>0.11399801406381727</v>
      </c>
      <c r="AG173" s="15">
        <f ca="1"/>
        <v>0.30729370519239102</v>
      </c>
      <c r="AH173" s="16">
        <f ca="1"/>
        <v>0.26578038593528314</v>
      </c>
      <c r="AI173" s="16">
        <f ca="1"/>
        <v>-0.18294756348833036</v>
      </c>
      <c r="AJ173" s="16">
        <f ca="1"/>
        <v>0.11562052796415902</v>
      </c>
      <c r="AK173" s="16">
        <f ca="1"/>
        <v>0.12176116716845933</v>
      </c>
      <c r="AL173" s="17">
        <f ca="1"/>
        <v>6.8208902228367174E-2</v>
      </c>
      <c r="AM173" s="7">
        <v>6</v>
      </c>
    </row>
    <row r="175" spans="4:39" ht="24" customHeight="1" x14ac:dyDescent="0.3">
      <c r="V175" s="7" t="s">
        <v>57</v>
      </c>
      <c r="W175" s="18" cm="1">
        <f t="array" aca="1" ref="W175:Y180" ca="1">(_xlfn.RANDARRAY(F151*F152,F150)-0.5)*2</f>
        <v>0.86279847539647037</v>
      </c>
      <c r="X175" s="18">
        <f ca="1"/>
        <v>-0.18897288669722467</v>
      </c>
      <c r="Y175" s="18">
        <f ca="1"/>
        <v>-0.68437160626574212</v>
      </c>
      <c r="AF175" s="7" t="s">
        <v>16</v>
      </c>
      <c r="AG175" s="9" cm="1">
        <f t="array" aca="1" ref="AG175:AL180" ca="1">MMULT(_xlfn.ANCHORARRAY(W175),_xlfn.ANCHORARRAY(AG161))</f>
        <v>-0.62325704219707667</v>
      </c>
      <c r="AH175" s="10">
        <f ca="1"/>
        <v>-1.8329595736886199</v>
      </c>
      <c r="AI175" s="10">
        <f ca="1"/>
        <v>0.63808871899333819</v>
      </c>
      <c r="AJ175" s="10">
        <f ca="1"/>
        <v>-1.2106415207912493</v>
      </c>
      <c r="AK175" s="10">
        <f ca="1"/>
        <v>4.7580399493377279E-2</v>
      </c>
      <c r="AL175" s="11">
        <f ca="1"/>
        <v>-1.0063745781723519</v>
      </c>
      <c r="AM175" s="7" cm="1">
        <f t="array" ref="AM175:AM180">_xlfn.SEQUENCE(F151*F152,1)</f>
        <v>1</v>
      </c>
    </row>
    <row r="176" spans="4:39" ht="24" customHeight="1" x14ac:dyDescent="0.3">
      <c r="W176" s="18">
        <f ca="1"/>
        <v>7.7609014556319966E-2</v>
      </c>
      <c r="X176" s="18">
        <f ca="1"/>
        <v>0.54710087605439695</v>
      </c>
      <c r="Y176" s="18">
        <f ca="1"/>
        <v>-0.18751052005160451</v>
      </c>
      <c r="AG176" s="12">
        <f ca="1"/>
        <v>0.19419360505231548</v>
      </c>
      <c r="AH176" s="13">
        <f ca="1"/>
        <v>-0.59877315625010508</v>
      </c>
      <c r="AI176" s="13">
        <f ca="1"/>
        <v>3.2156335853986612E-2</v>
      </c>
      <c r="AJ176" s="13">
        <f ca="1"/>
        <v>-0.50953662102497621</v>
      </c>
      <c r="AK176" s="13">
        <f ca="1"/>
        <v>0.2490920268369925</v>
      </c>
      <c r="AL176" s="14">
        <f ca="1"/>
        <v>-0.49770048113781673</v>
      </c>
      <c r="AM176" s="7">
        <v>2</v>
      </c>
    </row>
    <row r="177" spans="5:39" ht="24" customHeight="1" x14ac:dyDescent="0.3">
      <c r="W177" s="18">
        <f ca="1"/>
        <v>0.36903358950695564</v>
      </c>
      <c r="X177" s="18">
        <f ca="1"/>
        <v>-0.7725551805730424</v>
      </c>
      <c r="Y177" s="18">
        <f ca="1"/>
        <v>-0.86163739014799301</v>
      </c>
      <c r="AG177" s="12">
        <f ca="1"/>
        <v>-0.49319298198531436</v>
      </c>
      <c r="AH177" s="13">
        <f ca="1"/>
        <v>-1.0471629455139742</v>
      </c>
      <c r="AI177" s="13">
        <f ca="1"/>
        <v>0.95944124530371666</v>
      </c>
      <c r="AJ177" s="13">
        <f ca="1"/>
        <v>-0.43962458065810656</v>
      </c>
      <c r="AK177" s="13">
        <f ca="1"/>
        <v>6.8657798990709951E-2</v>
      </c>
      <c r="AL177" s="14">
        <f ca="1"/>
        <v>0.83210724199472919</v>
      </c>
      <c r="AM177" s="7">
        <v>3</v>
      </c>
    </row>
    <row r="178" spans="5:39" ht="24" customHeight="1" x14ac:dyDescent="0.3">
      <c r="W178" s="18">
        <f ca="1"/>
        <v>-0.350485019986428</v>
      </c>
      <c r="X178" s="18">
        <f ca="1"/>
        <v>-0.80407042725059608</v>
      </c>
      <c r="Y178" s="18">
        <f ca="1"/>
        <v>-0.86303149480636687</v>
      </c>
      <c r="AG178" s="12">
        <f ca="1"/>
        <v>1.0832912766303382E-2</v>
      </c>
      <c r="AH178" s="13">
        <f ca="1"/>
        <v>-4.8515677360740472E-2</v>
      </c>
      <c r="AI178" s="13">
        <f ca="1"/>
        <v>0.9925372326728823</v>
      </c>
      <c r="AJ178" s="13">
        <f ca="1"/>
        <v>0.35344753276721541</v>
      </c>
      <c r="AK178" s="13">
        <f ca="1"/>
        <v>0.24288904798816158</v>
      </c>
      <c r="AL178" s="14">
        <f ca="1"/>
        <v>2.4560691713163312</v>
      </c>
      <c r="AM178" s="7">
        <v>4</v>
      </c>
    </row>
    <row r="179" spans="5:39" ht="24" customHeight="1" x14ac:dyDescent="0.3">
      <c r="W179" s="18">
        <f ca="1"/>
        <v>0.36213833328820355</v>
      </c>
      <c r="X179" s="18">
        <f ca="1"/>
        <v>-0.3486441589111009</v>
      </c>
      <c r="Y179" s="18">
        <f ca="1"/>
        <v>0.15756645299998606</v>
      </c>
      <c r="AG179" s="12">
        <f ca="1"/>
        <v>-0.42376293515930269</v>
      </c>
      <c r="AH179" s="13">
        <f ca="1"/>
        <v>-0.1392739482782491</v>
      </c>
      <c r="AI179" s="13">
        <f ca="1"/>
        <v>-6.8752220340213929E-2</v>
      </c>
      <c r="AJ179" s="13">
        <f ca="1"/>
        <v>-9.7171972100865922E-2</v>
      </c>
      <c r="AK179" s="13">
        <f ca="1"/>
        <v>-0.28224738399065535</v>
      </c>
      <c r="AL179" s="14">
        <f ca="1"/>
        <v>-0.63388338867319183</v>
      </c>
      <c r="AM179" s="7">
        <v>5</v>
      </c>
    </row>
    <row r="180" spans="5:39" ht="24" customHeight="1" x14ac:dyDescent="0.3">
      <c r="W180" s="18">
        <f ca="1"/>
        <v>6.8984811171292293E-2</v>
      </c>
      <c r="X180" s="18">
        <f ca="1"/>
        <v>0.83493351926029868</v>
      </c>
      <c r="Y180" s="18">
        <f ca="1"/>
        <v>0.71462179298534023</v>
      </c>
      <c r="AG180" s="15">
        <f ca="1"/>
        <v>0.22085751603211148</v>
      </c>
      <c r="AH180" s="16">
        <f ca="1"/>
        <v>0.25404293528703081</v>
      </c>
      <c r="AI180" s="16">
        <f ca="1"/>
        <v>-0.85625621423426135</v>
      </c>
      <c r="AJ180" s="16">
        <f ca="1"/>
        <v>-0.15278166820938216</v>
      </c>
      <c r="AK180" s="16">
        <f ca="1"/>
        <v>-8.9386057878705072E-2</v>
      </c>
      <c r="AL180" s="17">
        <f ca="1"/>
        <v>-1.7060566642186681</v>
      </c>
      <c r="AM180" s="7">
        <v>6</v>
      </c>
    </row>
    <row r="184" spans="5:39" ht="24" customHeight="1" x14ac:dyDescent="0.3">
      <c r="E184" s="3" t="s">
        <v>58</v>
      </c>
    </row>
    <row r="185" spans="5:39" ht="24" customHeight="1" x14ac:dyDescent="0.3">
      <c r="F185" s="7" t="s">
        <v>61</v>
      </c>
    </row>
    <row r="186" spans="5:39" ht="24" customHeight="1" x14ac:dyDescent="0.3">
      <c r="E186" s="7" t="s">
        <v>59</v>
      </c>
      <c r="F186" s="8">
        <f>F151*(F152+F152)</f>
        <v>12</v>
      </c>
    </row>
    <row r="187" spans="5:39" ht="24" customHeight="1" x14ac:dyDescent="0.3">
      <c r="E187" s="7" t="s">
        <v>60</v>
      </c>
      <c r="F187" s="8">
        <f>F150</f>
        <v>3</v>
      </c>
    </row>
    <row r="195" spans="1:105" ht="48" customHeight="1" thickBot="1" x14ac:dyDescent="0.95">
      <c r="A195" s="5" t="s">
        <v>62</v>
      </c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22" t="s">
        <v>71</v>
      </c>
      <c r="AB195" s="6"/>
      <c r="AC195" s="6"/>
      <c r="AD195" s="6"/>
      <c r="AE195" s="22" t="s">
        <v>72</v>
      </c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</row>
    <row r="196" spans="1:105" ht="24" customHeight="1" thickTop="1" x14ac:dyDescent="0.3">
      <c r="AA196" s="23">
        <f ca="1">INDEX(_xlfn.ANCHORARRAY(O225),1,1)</f>
        <v>-0.11342743775363828</v>
      </c>
      <c r="AE196" s="23">
        <f ca="1">INDEX(_xlfn.ANCHORARRAY(O238),1,1)</f>
        <v>-0.76304621354354918</v>
      </c>
    </row>
    <row r="198" spans="1:105" ht="24" customHeight="1" x14ac:dyDescent="0.3">
      <c r="E198" s="7" t="s">
        <v>4</v>
      </c>
      <c r="F198" s="8">
        <v>6</v>
      </c>
      <c r="N198" s="7" t="s">
        <v>8</v>
      </c>
      <c r="O198" s="8" cm="1">
        <f t="array" ref="O198:T198">_xlfn.SEQUENCE(1,F198,1)</f>
        <v>1</v>
      </c>
      <c r="P198" s="8">
        <v>2</v>
      </c>
      <c r="Q198" s="8">
        <v>3</v>
      </c>
      <c r="R198" s="8">
        <v>4</v>
      </c>
      <c r="S198" s="8">
        <v>5</v>
      </c>
      <c r="T198" s="8">
        <v>6</v>
      </c>
    </row>
    <row r="199" spans="1:105" ht="24" customHeight="1" x14ac:dyDescent="0.3">
      <c r="E199" s="7" t="s">
        <v>5</v>
      </c>
      <c r="F199" s="8">
        <v>8</v>
      </c>
    </row>
    <row r="200" spans="1:105" ht="24" customHeight="1" x14ac:dyDescent="0.3">
      <c r="E200" s="7" t="s">
        <v>46</v>
      </c>
      <c r="F200" s="8">
        <v>3</v>
      </c>
      <c r="O200" s="8" t="str" cm="1">
        <f t="array" ref="O200:T200">"x"&amp;_xlfn.ANCHORARRAY(O198)</f>
        <v>x1</v>
      </c>
      <c r="P200" s="8" t="str">
        <v>x2</v>
      </c>
      <c r="Q200" s="8" t="str">
        <v>x3</v>
      </c>
      <c r="R200" s="8" t="str">
        <v>x4</v>
      </c>
      <c r="S200" s="8" t="str">
        <v>x5</v>
      </c>
      <c r="T200" s="8" t="str">
        <v>x6</v>
      </c>
    </row>
    <row r="201" spans="1:105" ht="24" customHeight="1" x14ac:dyDescent="0.3">
      <c r="E201" s="7" t="s">
        <v>47</v>
      </c>
      <c r="F201" s="8">
        <v>2</v>
      </c>
      <c r="N201" s="7" t="s">
        <v>9</v>
      </c>
      <c r="O201" s="9" cm="1">
        <f t="array" aca="1" ref="O201:T208" ca="1">(_xlfn.RANDARRAY(F199,F198)-0.5)*2</f>
        <v>0.56129943714773489</v>
      </c>
      <c r="P201" s="10">
        <f ca="1"/>
        <v>0.73895634258055587</v>
      </c>
      <c r="Q201" s="10">
        <f ca="1"/>
        <v>-0.17703201863877949</v>
      </c>
      <c r="R201" s="10">
        <f ca="1"/>
        <v>-0.11675967505027884</v>
      </c>
      <c r="S201" s="10">
        <f ca="1"/>
        <v>0.3168685437490848</v>
      </c>
      <c r="T201" s="11">
        <f ca="1"/>
        <v>-0.15310317177996247</v>
      </c>
    </row>
    <row r="202" spans="1:105" ht="24" customHeight="1" x14ac:dyDescent="0.3">
      <c r="E202" s="7" t="s">
        <v>48</v>
      </c>
      <c r="F202" s="8">
        <v>3</v>
      </c>
      <c r="O202" s="12">
        <f ca="1"/>
        <v>1.1194916769125651E-2</v>
      </c>
      <c r="P202" s="13">
        <f ca="1"/>
        <v>0.48684653534725175</v>
      </c>
      <c r="Q202" s="13">
        <f ca="1"/>
        <v>-0.50163814381760474</v>
      </c>
      <c r="R202" s="13">
        <f ca="1"/>
        <v>0.85947264623450037</v>
      </c>
      <c r="S202" s="13">
        <f ca="1"/>
        <v>0.42328942200667363</v>
      </c>
      <c r="T202" s="14">
        <f ca="1"/>
        <v>5.9906886137125248E-2</v>
      </c>
    </row>
    <row r="203" spans="1:105" ht="24" customHeight="1" x14ac:dyDescent="0.3">
      <c r="E203" s="7" t="s">
        <v>63</v>
      </c>
      <c r="F203" s="8">
        <v>2</v>
      </c>
      <c r="O203" s="12">
        <f ca="1"/>
        <v>0.80001163510575912</v>
      </c>
      <c r="P203" s="13">
        <f ca="1"/>
        <v>0.74343147048624791</v>
      </c>
      <c r="Q203" s="13">
        <f ca="1"/>
        <v>0.13320513293809499</v>
      </c>
      <c r="R203" s="13">
        <f ca="1"/>
        <v>0.5900304624603887</v>
      </c>
      <c r="S203" s="13">
        <f ca="1"/>
        <v>0.31696340444296478</v>
      </c>
      <c r="T203" s="14">
        <f ca="1"/>
        <v>0.83582522884329125</v>
      </c>
    </row>
    <row r="204" spans="1:105" ht="24" customHeight="1" x14ac:dyDescent="0.3">
      <c r="O204" s="12">
        <f ca="1"/>
        <v>-0.8117759034807559</v>
      </c>
      <c r="P204" s="13">
        <f ca="1"/>
        <v>0.51196070234512359</v>
      </c>
      <c r="Q204" s="13">
        <f ca="1"/>
        <v>-9.447378971638587E-2</v>
      </c>
      <c r="R204" s="13">
        <f ca="1"/>
        <v>0.78577708201247143</v>
      </c>
      <c r="S204" s="13">
        <f ca="1"/>
        <v>0.88909697031467694</v>
      </c>
      <c r="T204" s="14">
        <f ca="1"/>
        <v>-0.6305468667033729</v>
      </c>
    </row>
    <row r="205" spans="1:105" ht="24" customHeight="1" x14ac:dyDescent="0.3">
      <c r="O205" s="12">
        <f ca="1"/>
        <v>-0.5562419528888265</v>
      </c>
      <c r="P205" s="13">
        <f ca="1"/>
        <v>-0.83438660829708367</v>
      </c>
      <c r="Q205" s="13">
        <f ca="1"/>
        <v>-0.66722537765306233</v>
      </c>
      <c r="R205" s="13">
        <f ca="1"/>
        <v>1.2292810561957079E-2</v>
      </c>
      <c r="S205" s="13">
        <f ca="1"/>
        <v>-0.15361849920031956</v>
      </c>
      <c r="T205" s="14">
        <f ca="1"/>
        <v>0.46480802240665886</v>
      </c>
    </row>
    <row r="206" spans="1:105" ht="24" customHeight="1" x14ac:dyDescent="0.3">
      <c r="O206" s="12">
        <f ca="1"/>
        <v>-0.98667493316609622</v>
      </c>
      <c r="P206" s="13">
        <f ca="1"/>
        <v>-0.53830621514629096</v>
      </c>
      <c r="Q206" s="13">
        <f ca="1"/>
        <v>-0.32109600799091664</v>
      </c>
      <c r="R206" s="13">
        <f ca="1"/>
        <v>0.98932955616888973</v>
      </c>
      <c r="S206" s="13">
        <f ca="1"/>
        <v>0.31872226206443521</v>
      </c>
      <c r="T206" s="14">
        <f ca="1"/>
        <v>0.78815054600672729</v>
      </c>
    </row>
    <row r="207" spans="1:105" ht="24" customHeight="1" x14ac:dyDescent="0.3">
      <c r="O207" s="12">
        <f ca="1"/>
        <v>0.26952903171097864</v>
      </c>
      <c r="P207" s="13">
        <f ca="1"/>
        <v>0.7323127130830045</v>
      </c>
      <c r="Q207" s="13">
        <f ca="1"/>
        <v>-0.47587859118602571</v>
      </c>
      <c r="R207" s="13">
        <f ca="1"/>
        <v>-0.45577070686583543</v>
      </c>
      <c r="S207" s="13">
        <f ca="1"/>
        <v>0.41563022468042909</v>
      </c>
      <c r="T207" s="14">
        <f ca="1"/>
        <v>-0.23971467692597193</v>
      </c>
    </row>
    <row r="208" spans="1:105" ht="24" customHeight="1" x14ac:dyDescent="0.3">
      <c r="O208" s="15">
        <f ca="1"/>
        <v>-0.22191423822173428</v>
      </c>
      <c r="P208" s="16">
        <f ca="1"/>
        <v>-5.8082235160898943E-2</v>
      </c>
      <c r="Q208" s="16">
        <f ca="1"/>
        <v>0.82756472194297537</v>
      </c>
      <c r="R208" s="16">
        <f ca="1"/>
        <v>-0.85950174488585196</v>
      </c>
      <c r="S208" s="16">
        <f ca="1"/>
        <v>0.85487523183211334</v>
      </c>
      <c r="T208" s="17">
        <f ca="1"/>
        <v>-0.97906547784309517</v>
      </c>
    </row>
    <row r="210" spans="4:28" ht="24" customHeight="1" x14ac:dyDescent="0.3">
      <c r="D210" s="3" t="s">
        <v>38</v>
      </c>
    </row>
    <row r="211" spans="4:28" ht="24" customHeight="1" x14ac:dyDescent="0.3">
      <c r="D211" s="7" t="s">
        <v>54</v>
      </c>
      <c r="E211" s="18" cm="1">
        <f t="array" aca="1" ref="E211:L213" ca="1">(_xlfn.RANDARRAY(F200,F199)-0.5)*2</f>
        <v>0.27370829809452824</v>
      </c>
      <c r="F211" s="18">
        <f ca="1"/>
        <v>0.80949977847202792</v>
      </c>
      <c r="G211" s="18">
        <f ca="1"/>
        <v>-3.8913185164395347E-2</v>
      </c>
      <c r="H211" s="18">
        <f ca="1"/>
        <v>-0.76070090447786809</v>
      </c>
      <c r="I211" s="18">
        <f ca="1"/>
        <v>0.83118636054345441</v>
      </c>
      <c r="J211" s="18">
        <f ca="1"/>
        <v>-0.24351557619010711</v>
      </c>
      <c r="K211" s="18">
        <f ca="1"/>
        <v>-0.39668306232726103</v>
      </c>
      <c r="L211" s="18">
        <f ca="1"/>
        <v>-0.59977422281082049</v>
      </c>
      <c r="N211" s="7" t="s">
        <v>55</v>
      </c>
      <c r="O211" s="9" cm="1">
        <f t="array" aca="1" ref="O211:T213" ca="1">MMULT(_xlfn.ANCHORARRAY(E211),_xlfn.ANCHORARRAY(O201))</f>
        <v>0.55319308796226496</v>
      </c>
      <c r="P211" s="10">
        <f ca="1"/>
        <v>-0.64012225263456701</v>
      </c>
      <c r="Q211" s="10">
        <f ca="1"/>
        <v>-1.1718240025362658</v>
      </c>
      <c r="R211" s="10">
        <f ca="1"/>
        <v>0.50868749346382092</v>
      </c>
      <c r="S211" s="10">
        <f ca="1"/>
        <v>-1.1421937166091469</v>
      </c>
      <c r="T211" s="11">
        <f ca="1"/>
        <v>1.3304460947403207</v>
      </c>
    </row>
    <row r="212" spans="4:28" ht="24" customHeight="1" x14ac:dyDescent="0.3">
      <c r="E212" s="18">
        <f ca="1"/>
        <v>0.19161689744685884</v>
      </c>
      <c r="F212" s="18">
        <f ca="1"/>
        <v>0.42659453627306476</v>
      </c>
      <c r="G212" s="18">
        <f ca="1"/>
        <v>0.64538868012334083</v>
      </c>
      <c r="H212" s="18">
        <f ca="1"/>
        <v>0.28256299131476093</v>
      </c>
      <c r="I212" s="18">
        <f ca="1"/>
        <v>0.46106651004653765</v>
      </c>
      <c r="J212" s="18">
        <f ca="1"/>
        <v>0.87566397307310151</v>
      </c>
      <c r="K212" s="18">
        <f ca="1"/>
        <v>-0.57143156905342041</v>
      </c>
      <c r="L212" s="18">
        <f ca="1"/>
        <v>1.3064730319050977E-2</v>
      </c>
      <c r="O212" s="12">
        <f ca="1"/>
        <v>-0.87810610252804633</v>
      </c>
      <c r="P212" s="13">
        <f ca="1"/>
        <v>-0.30156251532945078</v>
      </c>
      <c r="Q212" s="13">
        <f ca="1"/>
        <v>-0.49470765161971353</v>
      </c>
      <c r="R212" s="13">
        <f ca="1"/>
        <v>2.0683043772248619</v>
      </c>
      <c r="S212" s="13">
        <f ca="1"/>
        <v>0.67901055461025739</v>
      </c>
      <c r="T212" s="14">
        <f ca="1"/>
        <v>1.3861334867394717</v>
      </c>
    </row>
    <row r="213" spans="4:28" ht="24" customHeight="1" x14ac:dyDescent="0.3">
      <c r="E213" s="18">
        <f ca="1"/>
        <v>-0.44734983028735797</v>
      </c>
      <c r="F213" s="18">
        <f ca="1"/>
        <v>-0.94526121447489642</v>
      </c>
      <c r="G213" s="18">
        <f ca="1"/>
        <v>-0.95329649545487705</v>
      </c>
      <c r="H213" s="18">
        <f ca="1"/>
        <v>-0.79380095932132066</v>
      </c>
      <c r="I213" s="18">
        <f ca="1"/>
        <v>-0.76161575392001968</v>
      </c>
      <c r="J213" s="18">
        <f ca="1"/>
        <v>0.48183604607801378</v>
      </c>
      <c r="K213" s="18">
        <f ca="1"/>
        <v>-0.82932790713904936</v>
      </c>
      <c r="L213" s="18">
        <f ca="1"/>
        <v>-0.66920729404420287</v>
      </c>
      <c r="O213" s="15">
        <f ca="1"/>
        <v>-0.50673336086355358</v>
      </c>
      <c r="P213" s="16">
        <f ca="1"/>
        <v>-2.0982263206249407</v>
      </c>
      <c r="Q213" s="16">
        <f ca="1"/>
        <v>0.69568449904326257</v>
      </c>
      <c r="R213" s="16">
        <f ca="1"/>
        <v>-0.525917863348491</v>
      </c>
      <c r="S213" s="16">
        <f ca="1"/>
        <v>-2.1960086343814069</v>
      </c>
      <c r="T213" s="17">
        <f ca="1"/>
        <v>0.59535652901773439</v>
      </c>
    </row>
    <row r="216" spans="4:28" ht="24" customHeight="1" x14ac:dyDescent="0.3">
      <c r="D216" s="3" t="s">
        <v>64</v>
      </c>
    </row>
    <row r="217" spans="4:28" ht="24" customHeight="1" x14ac:dyDescent="0.3">
      <c r="D217" s="7" t="s">
        <v>56</v>
      </c>
      <c r="E217" s="18" cm="1">
        <f t="array" aca="1" ref="E217:G222" ca="1">(_xlfn.RANDARRAY(F201*F202,F200)-0.5)*2</f>
        <v>-0.69924774098531151</v>
      </c>
      <c r="F217" s="18">
        <f ca="1"/>
        <v>0.69112580148437042</v>
      </c>
      <c r="G217" s="18">
        <f ca="1"/>
        <v>6.1548955084795409E-2</v>
      </c>
      <c r="N217" s="7" t="s">
        <v>14</v>
      </c>
      <c r="O217" s="9" cm="1">
        <f t="array" aca="1" ref="O217:T222" ca="1">MMULT(_xlfn.ANCHORARRAY(E217),_xlfn.ANCHORARRAY(O211))</f>
        <v>-1.0248897098520735</v>
      </c>
      <c r="P217" s="10">
        <f ca="1"/>
        <v>0.11004276643856045</v>
      </c>
      <c r="Q217" s="10">
        <f ca="1"/>
        <v>0.52030871836452675</v>
      </c>
      <c r="R217" s="10">
        <f ca="1"/>
        <v>1.0413902448015793</v>
      </c>
      <c r="S217" s="10">
        <f ca="1"/>
        <v>1.13279605307456</v>
      </c>
      <c r="T217" s="11">
        <f ca="1"/>
        <v>6.4324763001195523E-2</v>
      </c>
    </row>
    <row r="218" spans="4:28" ht="24" customHeight="1" x14ac:dyDescent="0.3">
      <c r="E218" s="18">
        <f ca="1"/>
        <v>-0.89857955361736863</v>
      </c>
      <c r="F218" s="18">
        <f ca="1"/>
        <v>-1.3636122980031917E-2</v>
      </c>
      <c r="G218" s="18">
        <f ca="1"/>
        <v>7.5312719985369814E-2</v>
      </c>
      <c r="O218" s="12">
        <f ca="1"/>
        <v>-0.52327750295571895</v>
      </c>
      <c r="P218" s="13">
        <f ca="1"/>
        <v>0.42128978022695485</v>
      </c>
      <c r="Q218" s="13">
        <f ca="1"/>
        <v>1.1121168753684125</v>
      </c>
      <c r="R218" s="13">
        <f ca="1"/>
        <v>-0.5249081384331038</v>
      </c>
      <c r="S218" s="13">
        <f ca="1"/>
        <v>0.85170546522118395</v>
      </c>
      <c r="T218" s="14">
        <f ca="1"/>
        <v>-1.1695752250542744</v>
      </c>
    </row>
    <row r="219" spans="4:28" ht="24" customHeight="1" x14ac:dyDescent="0.3">
      <c r="E219" s="18">
        <f ca="1"/>
        <v>-0.10954661502252483</v>
      </c>
      <c r="F219" s="18">
        <f ca="1"/>
        <v>-0.57158198180469411</v>
      </c>
      <c r="G219" s="18">
        <f ca="1"/>
        <v>0.34878375224399472</v>
      </c>
      <c r="O219" s="12">
        <f ca="1"/>
        <v>0.26456883308845219</v>
      </c>
      <c r="P219" s="13">
        <f ca="1"/>
        <v>-0.48933632303795177</v>
      </c>
      <c r="Q219" s="13">
        <f ca="1"/>
        <v>0.65377878276102941</v>
      </c>
      <c r="R219" s="13">
        <f ca="1"/>
        <v>-1.4213621136735959</v>
      </c>
      <c r="S219" s="13">
        <f ca="1"/>
        <v>-1.0289188745756641</v>
      </c>
      <c r="T219" s="14">
        <f ca="1"/>
        <v>-0.73038410743137139</v>
      </c>
    </row>
    <row r="220" spans="4:28" ht="24" customHeight="1" x14ac:dyDescent="0.3">
      <c r="E220" s="18">
        <f ca="1"/>
        <v>-0.1735793909964749</v>
      </c>
      <c r="F220" s="18">
        <f ca="1"/>
        <v>0.22873130788933338</v>
      </c>
      <c r="G220" s="18">
        <f ca="1"/>
        <v>-0.70086605930030643</v>
      </c>
      <c r="O220" s="12">
        <f ca="1"/>
        <v>5.8278937135644526E-2</v>
      </c>
      <c r="P220" s="13">
        <f ca="1"/>
        <v>1.5127108550904809</v>
      </c>
      <c r="Q220" s="13">
        <f ca="1"/>
        <v>-0.39733228482330035</v>
      </c>
      <c r="R220" s="13">
        <f ca="1"/>
        <v>0.75338628039359645</v>
      </c>
      <c r="S220" s="13">
        <f ca="1"/>
        <v>1.8926801797240258</v>
      </c>
      <c r="T220" s="14">
        <f ca="1"/>
        <v>-0.33115108191890996</v>
      </c>
    </row>
    <row r="221" spans="4:28" ht="24" customHeight="1" x14ac:dyDescent="0.3">
      <c r="E221" s="18">
        <f ca="1"/>
        <v>-0.3537878848347491</v>
      </c>
      <c r="F221" s="18">
        <f ca="1"/>
        <v>7.4905414142299342E-2</v>
      </c>
      <c r="G221" s="18">
        <f ca="1"/>
        <v>-0.4274770837296189</v>
      </c>
      <c r="O221" s="12">
        <f ca="1"/>
        <v>-4.4871014435656192E-2</v>
      </c>
      <c r="P221" s="13">
        <f ca="1"/>
        <v>1.1008225012401704</v>
      </c>
      <c r="Q221" s="13">
        <f ca="1"/>
        <v>8.0131672885041472E-2</v>
      </c>
      <c r="R221" s="13">
        <f ca="1"/>
        <v>0.19977755809942851</v>
      </c>
      <c r="S221" s="13">
        <f ca="1"/>
        <v>1.3936992327411915</v>
      </c>
      <c r="T221" s="14">
        <f ca="1"/>
        <v>-0.62136807966799013</v>
      </c>
    </row>
    <row r="222" spans="4:28" ht="24" customHeight="1" x14ac:dyDescent="0.3">
      <c r="E222" s="18">
        <f ca="1"/>
        <v>-0.71464574053535346</v>
      </c>
      <c r="F222" s="18">
        <f ca="1"/>
        <v>-0.79089259165968295</v>
      </c>
      <c r="G222" s="18">
        <f ca="1"/>
        <v>0.26886612887735462</v>
      </c>
      <c r="O222" s="15">
        <f ca="1"/>
        <v>0.16290709006636286</v>
      </c>
      <c r="P222" s="16">
        <f ca="1"/>
        <v>0.13182221222850798</v>
      </c>
      <c r="Q222" s="16">
        <f ca="1"/>
        <v>1.4157456469507661</v>
      </c>
      <c r="R222" s="16">
        <f ca="1"/>
        <v>-2.140739459737921</v>
      </c>
      <c r="S222" s="16">
        <f ca="1"/>
        <v>-0.31119288336638862</v>
      </c>
      <c r="T222" s="17">
        <f ca="1"/>
        <v>-1.8870091350728624</v>
      </c>
    </row>
    <row r="224" spans="4:28" ht="24" customHeight="1" x14ac:dyDescent="0.3">
      <c r="O224" s="8" t="str" cm="1">
        <f t="array" ref="O224:T224">"k"&amp;_xlfn.ANCHORARRAY(O198)</f>
        <v>k1</v>
      </c>
      <c r="P224" s="8" t="str">
        <v>k2</v>
      </c>
      <c r="Q224" s="8" t="str">
        <v>k3</v>
      </c>
      <c r="R224" s="8" t="str">
        <v>k4</v>
      </c>
      <c r="S224" s="8" t="str">
        <v>k5</v>
      </c>
      <c r="T224" s="8" t="str">
        <v>k6</v>
      </c>
      <c r="V224" s="7" t="s">
        <v>66</v>
      </c>
      <c r="W224" s="8" cm="1">
        <f t="array" ref="W224:AB224">_xlfn.SEQUENCE(1,F198,1)</f>
        <v>1</v>
      </c>
      <c r="X224" s="8">
        <v>2</v>
      </c>
      <c r="Y224" s="8">
        <v>3</v>
      </c>
      <c r="Z224" s="8">
        <v>4</v>
      </c>
      <c r="AA224" s="8">
        <v>5</v>
      </c>
      <c r="AB224" s="8">
        <v>6</v>
      </c>
    </row>
    <row r="225" spans="4:20" ht="24" customHeight="1" x14ac:dyDescent="0.3">
      <c r="D225" s="3" t="s">
        <v>65</v>
      </c>
      <c r="O225" s="9" cm="1">
        <f t="array" aca="1" ref="O225:T226" ca="1">IF(_xlfn.SEQUENCE(2,1)=1,COS(_xlfn.ANCHORARRAY(W224))*O217:T217-SIN(_xlfn.ANCHORARRAY(W224))*O218:T218,SIN(_xlfn.ANCHORARRAY(W224))*O217:T217+COS(_xlfn.ANCHORARRAY(W224))*O218:T218)</f>
        <v>-0.11342743775363828</v>
      </c>
      <c r="P225" s="10">
        <f ca="1"/>
        <v>-0.42887166224662998</v>
      </c>
      <c r="Q225" s="10">
        <f ca="1"/>
        <v>-0.67204366951218064</v>
      </c>
      <c r="R225" s="10">
        <f ca="1"/>
        <v>-1.0779498793177598</v>
      </c>
      <c r="S225" s="10">
        <f ca="1"/>
        <v>1.1380524495631013</v>
      </c>
      <c r="T225" s="11">
        <f ca="1"/>
        <v>-0.26503471806008616</v>
      </c>
    </row>
    <row r="226" spans="4:20" ht="24" customHeight="1" x14ac:dyDescent="0.3">
      <c r="O226" s="12">
        <f ca="1"/>
        <v>-1.1451429949246008</v>
      </c>
      <c r="P226" s="13">
        <f ca="1"/>
        <v>-7.5256804947725631E-2</v>
      </c>
      <c r="Q226" s="13">
        <f ca="1"/>
        <v>-1.0275613914282398</v>
      </c>
      <c r="R226" s="13">
        <f ca="1"/>
        <v>-0.44502387962897733</v>
      </c>
      <c r="S226" s="13">
        <f ca="1"/>
        <v>-0.84466899990017363</v>
      </c>
      <c r="T226" s="14">
        <f ca="1"/>
        <v>-1.1409647148000359</v>
      </c>
    </row>
    <row r="227" spans="4:20" ht="24" customHeight="1" x14ac:dyDescent="0.3">
      <c r="O227" s="12" cm="1">
        <f t="array" aca="1" ref="O227:T227" ca="1">O219:T219</f>
        <v>0.26456883308845219</v>
      </c>
      <c r="P227" s="13">
        <f ca="1"/>
        <v>-0.48933632303795177</v>
      </c>
      <c r="Q227" s="13">
        <f ca="1"/>
        <v>0.65377878276102941</v>
      </c>
      <c r="R227" s="13">
        <f ca="1"/>
        <v>-1.4213621136735959</v>
      </c>
      <c r="S227" s="13">
        <f ca="1"/>
        <v>-1.0289188745756641</v>
      </c>
      <c r="T227" s="14">
        <f ca="1"/>
        <v>-0.73038410743137139</v>
      </c>
    </row>
    <row r="228" spans="4:20" ht="24" customHeight="1" x14ac:dyDescent="0.3">
      <c r="O228" s="12" cm="1">
        <f t="array" aca="1" ref="O228:T229" ca="1">IF(_xlfn.SEQUENCE(2,1)=1,COS(_xlfn.ANCHORARRAY(W224))*O220:T220-SIN(_xlfn.ANCHORARRAY(W224))*O221:T221,SIN(_xlfn.ANCHORARRAY(W224))*O220:T220+COS(_xlfn.ANCHORARRAY(W224))*O221:T221)</f>
        <v>6.9245900824434048E-2</v>
      </c>
      <c r="P228" s="13">
        <f ca="1"/>
        <v>-1.630484904725924</v>
      </c>
      <c r="Q228" s="13">
        <f ca="1"/>
        <v>0.38204779830879065</v>
      </c>
      <c r="R228" s="13">
        <f ca="1"/>
        <v>-0.34125398174926669</v>
      </c>
      <c r="S228" s="13">
        <f ca="1"/>
        <v>1.8733338220183686</v>
      </c>
      <c r="T228" s="14">
        <f ca="1"/>
        <v>-0.49158130079599993</v>
      </c>
    </row>
    <row r="229" spans="4:20" ht="24" customHeight="1" x14ac:dyDescent="0.3">
      <c r="O229" s="12">
        <f ca="1"/>
        <v>2.4796122058860663E-2</v>
      </c>
      <c r="P229" s="13">
        <f ca="1"/>
        <v>0.91740028657404116</v>
      </c>
      <c r="Q229" s="13">
        <f ca="1"/>
        <v>-0.13540129013294203</v>
      </c>
      <c r="R229" s="13">
        <f ca="1"/>
        <v>-0.7007479433760333</v>
      </c>
      <c r="S229" s="13">
        <f ca="1"/>
        <v>-1.4195971982733719</v>
      </c>
      <c r="T229" s="14">
        <f ca="1"/>
        <v>-0.504090422636716</v>
      </c>
    </row>
    <row r="230" spans="4:20" ht="24" customHeight="1" x14ac:dyDescent="0.3">
      <c r="O230" s="15" cm="1">
        <f t="array" aca="1" ref="O230:T230" ca="1">O222:T222</f>
        <v>0.16290709006636286</v>
      </c>
      <c r="P230" s="16">
        <f ca="1"/>
        <v>0.13182221222850798</v>
      </c>
      <c r="Q230" s="16">
        <f ca="1"/>
        <v>1.4157456469507661</v>
      </c>
      <c r="R230" s="16">
        <f ca="1"/>
        <v>-2.140739459737921</v>
      </c>
      <c r="S230" s="16">
        <f ca="1"/>
        <v>-0.31119288336638862</v>
      </c>
      <c r="T230" s="17">
        <f ca="1"/>
        <v>-1.8870091350728624</v>
      </c>
    </row>
    <row r="233" spans="4:20" ht="24" customHeight="1" x14ac:dyDescent="0.3">
      <c r="D233" s="3" t="s">
        <v>67</v>
      </c>
    </row>
    <row r="234" spans="4:20" ht="24" customHeight="1" x14ac:dyDescent="0.3">
      <c r="D234" s="7" t="s">
        <v>68</v>
      </c>
      <c r="N234" s="7" t="s">
        <v>69</v>
      </c>
      <c r="O234" s="9" cm="1">
        <f t="array" aca="1" ref="O234:T236" ca="1">IF(_xlfn.SEQUENCE(F200,1)=1,COS(_xlfn.ANCHORARRAY(W224))*O211:T211-SIN(_xlfn.ANCHORARRAY(W224))*O212:T212,IF(_xlfn.SEQUENCE(F200,1)=2,SIN(_xlfn.ANCHORARRAY(W224))*O211:T211+COS(_xlfn.ANCHORARRAY(W224))*O212:T212,O213:T213))</f>
        <v>1.0377923078764273</v>
      </c>
      <c r="P234" s="10">
        <f ca="1"/>
        <v>0.54059486965345549</v>
      </c>
      <c r="Q234" s="10">
        <f ca="1"/>
        <v>1.2299101176310565</v>
      </c>
      <c r="R234" s="10">
        <f ca="1"/>
        <v>1.2327975786243592</v>
      </c>
      <c r="S234" s="10">
        <f ca="1"/>
        <v>0.3271225376925409</v>
      </c>
      <c r="T234" s="11">
        <f ca="1"/>
        <v>1.6647619869271975</v>
      </c>
    </row>
    <row r="235" spans="4:20" ht="24" customHeight="1" x14ac:dyDescent="0.3">
      <c r="O235" s="12">
        <f ca="1"/>
        <v>-8.9468194762601372E-3</v>
      </c>
      <c r="P235" s="13">
        <f ca="1"/>
        <v>-0.45656723039892066</v>
      </c>
      <c r="Q235" s="13">
        <f ca="1"/>
        <v>0.32438905043167987</v>
      </c>
      <c r="R235" s="13">
        <f ca="1"/>
        <v>-1.7369099265626717</v>
      </c>
      <c r="S235" s="13">
        <f ca="1"/>
        <v>1.2878868990975636</v>
      </c>
      <c r="T235" s="14">
        <f ca="1"/>
        <v>0.95917692890962769</v>
      </c>
    </row>
    <row r="236" spans="4:20" ht="24" customHeight="1" x14ac:dyDescent="0.3">
      <c r="O236" s="15">
        <f ca="1"/>
        <v>-0.50673336086355358</v>
      </c>
      <c r="P236" s="16">
        <f ca="1"/>
        <v>-2.0982263206249407</v>
      </c>
      <c r="Q236" s="16">
        <f ca="1"/>
        <v>0.69568449904326257</v>
      </c>
      <c r="R236" s="16">
        <f ca="1"/>
        <v>-0.525917863348491</v>
      </c>
      <c r="S236" s="16">
        <f ca="1"/>
        <v>-2.1960086343814069</v>
      </c>
      <c r="T236" s="17">
        <f ca="1"/>
        <v>0.59535652901773439</v>
      </c>
    </row>
    <row r="238" spans="4:20" ht="24" customHeight="1" x14ac:dyDescent="0.3">
      <c r="N238" s="7" t="s">
        <v>70</v>
      </c>
      <c r="O238" s="9" cm="1">
        <f t="array" aca="1" ref="O238:T243" ca="1">MMULT(_xlfn.ANCHORARRAY(E217),_xlfn.ANCHORARRAY(O234))</f>
        <v>-0.76304621354354918</v>
      </c>
      <c r="P238" s="10">
        <f ca="1"/>
        <v>-0.82269877200026087</v>
      </c>
      <c r="Q238" s="10">
        <f ca="1"/>
        <v>-0.59299957491134425</v>
      </c>
      <c r="R238" s="10">
        <f ca="1"/>
        <v>-2.0948238819965583</v>
      </c>
      <c r="S238" s="10">
        <f ca="1"/>
        <v>0.52619013304976836</v>
      </c>
      <c r="T238" s="11">
        <f ca="1"/>
        <v>-0.4645255626151259</v>
      </c>
    </row>
    <row r="239" spans="4:20" ht="24" customHeight="1" x14ac:dyDescent="0.3">
      <c r="O239" s="12">
        <f ca="1"/>
        <v>-0.97058041654244254</v>
      </c>
      <c r="P239" s="13">
        <f ca="1"/>
        <v>-0.63756482110982837</v>
      </c>
      <c r="Q239" s="13">
        <f ca="1"/>
        <v>-1.0572016016008547</v>
      </c>
      <c r="R239" s="13">
        <f ca="1"/>
        <v>-1.1236902853146717</v>
      </c>
      <c r="S239" s="13">
        <f ca="1"/>
        <v>-0.47689479140503188</v>
      </c>
      <c r="T239" s="14">
        <f ca="1"/>
        <v>-1.4641626180930514</v>
      </c>
    </row>
    <row r="240" spans="4:20" ht="24" customHeight="1" x14ac:dyDescent="0.3">
      <c r="O240" s="12">
        <f ca="1"/>
        <v>-0.28531315660638734</v>
      </c>
      <c r="P240" s="13">
        <f ca="1"/>
        <v>-0.53008198485526159</v>
      </c>
      <c r="Q240" s="13">
        <f ca="1"/>
        <v>-7.7503976535627128E-2</v>
      </c>
      <c r="R240" s="13">
        <f ca="1"/>
        <v>0.67430601054384298</v>
      </c>
      <c r="S240" s="13">
        <f ca="1"/>
        <v>-1.5379002442880414</v>
      </c>
      <c r="T240" s="14">
        <f ca="1"/>
        <v>-0.52296660629978631</v>
      </c>
    </row>
    <row r="241" spans="1:131" ht="24" customHeight="1" x14ac:dyDescent="0.3">
      <c r="O241" s="12">
        <f ca="1"/>
        <v>0.17296643924216779</v>
      </c>
      <c r="P241" s="13">
        <f ca="1"/>
        <v>1.2723082648577622</v>
      </c>
      <c r="Q241" s="13">
        <f ca="1"/>
        <v>-0.62687077078934372</v>
      </c>
      <c r="R241" s="13">
        <f ca="1"/>
        <v>-0.24267595170749706</v>
      </c>
      <c r="S241" s="13">
        <f ca="1"/>
        <v>1.776906241738575</v>
      </c>
      <c r="T241" s="14">
        <f ca="1"/>
        <v>-0.4868397627694992</v>
      </c>
    </row>
    <row r="242" spans="1:131" ht="24" customHeight="1" x14ac:dyDescent="0.3">
      <c r="O242" s="12">
        <f ca="1"/>
        <v>-0.15121161138903907</v>
      </c>
      <c r="P242" s="13">
        <f ca="1"/>
        <v>0.67148839558143136</v>
      </c>
      <c r="Q242" s="13">
        <f ca="1"/>
        <v>-0.7082179837346515</v>
      </c>
      <c r="R242" s="13">
        <f ca="1"/>
        <v>-0.34143497064243489</v>
      </c>
      <c r="S242" s="13">
        <f ca="1"/>
        <v>0.91948107772375187</v>
      </c>
      <c r="T242" s="14">
        <f ca="1"/>
        <v>-0.77162634981644229</v>
      </c>
    </row>
    <row r="243" spans="1:131" ht="24" customHeight="1" x14ac:dyDescent="0.3">
      <c r="O243" s="15">
        <f ca="1"/>
        <v>-0.87082131624994741</v>
      </c>
      <c r="P243" s="16">
        <f ca="1"/>
        <v>-0.58938016917102365</v>
      </c>
      <c r="Q243" s="16">
        <f ca="1"/>
        <v>-0.94846092543056115</v>
      </c>
      <c r="R243" s="16">
        <f ca="1"/>
        <v>0.35129415476642684</v>
      </c>
      <c r="S243" s="16">
        <f ca="1"/>
        <v>-1.8427892760942894</v>
      </c>
      <c r="T243" s="17">
        <f ca="1"/>
        <v>-1.7882497848693475</v>
      </c>
    </row>
    <row r="250" spans="1:131" ht="48" customHeight="1" thickBot="1" x14ac:dyDescent="0.95">
      <c r="A250" s="5" t="s">
        <v>73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</row>
    <row r="251" spans="1:131" ht="24" customHeight="1" thickTop="1" x14ac:dyDescent="0.3"/>
    <row r="253" spans="1:131" ht="24" customHeight="1" x14ac:dyDescent="0.3">
      <c r="E253" s="7" t="s">
        <v>4</v>
      </c>
      <c r="F253" s="8">
        <v>6</v>
      </c>
      <c r="N253" s="7" t="s">
        <v>8</v>
      </c>
      <c r="O253" s="8" cm="1">
        <f t="array" ref="O253:T253">_xlfn.SEQUENCE(1,F253,1)</f>
        <v>1</v>
      </c>
      <c r="P253" s="8">
        <v>2</v>
      </c>
      <c r="Q253" s="8">
        <v>3</v>
      </c>
      <c r="R253" s="8">
        <v>4</v>
      </c>
      <c r="S253" s="8">
        <v>5</v>
      </c>
      <c r="T253" s="8">
        <v>6</v>
      </c>
    </row>
    <row r="254" spans="1:131" ht="24" customHeight="1" x14ac:dyDescent="0.3">
      <c r="E254" s="7" t="s">
        <v>5</v>
      </c>
      <c r="F254" s="8">
        <v>8</v>
      </c>
    </row>
    <row r="255" spans="1:131" ht="24" customHeight="1" x14ac:dyDescent="0.3">
      <c r="E255" s="7" t="s">
        <v>74</v>
      </c>
      <c r="F255" s="8">
        <v>4</v>
      </c>
      <c r="O255" s="8" t="str" cm="1">
        <f t="array" ref="O255:T255">"x"&amp;_xlfn.ANCHORARRAY(O253)</f>
        <v>x1</v>
      </c>
      <c r="P255" s="8" t="str">
        <v>x2</v>
      </c>
      <c r="Q255" s="8" t="str">
        <v>x3</v>
      </c>
      <c r="R255" s="8" t="str">
        <v>x4</v>
      </c>
      <c r="S255" s="8" t="str">
        <v>x5</v>
      </c>
      <c r="T255" s="8" t="str">
        <v>x6</v>
      </c>
    </row>
    <row r="256" spans="1:131" ht="24" customHeight="1" x14ac:dyDescent="0.3">
      <c r="E256" s="7" t="s">
        <v>46</v>
      </c>
      <c r="F256" s="8">
        <v>3</v>
      </c>
      <c r="N256" s="7" t="s">
        <v>9</v>
      </c>
      <c r="O256" s="9" cm="1">
        <f t="array" aca="1" ref="O256:T263" ca="1">(_xlfn.RANDARRAY(F254,F253)-0.5)*2</f>
        <v>0.41230374958106708</v>
      </c>
      <c r="P256" s="10">
        <f ca="1"/>
        <v>0.9276184240437888</v>
      </c>
      <c r="Q256" s="10">
        <f ca="1"/>
        <v>-0.97211387862843646</v>
      </c>
      <c r="R256" s="10">
        <f ca="1"/>
        <v>0.39177986625096528</v>
      </c>
      <c r="S256" s="10">
        <f ca="1"/>
        <v>-0.23115571694785242</v>
      </c>
      <c r="T256" s="11">
        <f ca="1"/>
        <v>-0.14208404850636391</v>
      </c>
    </row>
    <row r="257" spans="4:38" ht="24" customHeight="1" x14ac:dyDescent="0.3">
      <c r="E257" s="7" t="s">
        <v>47</v>
      </c>
      <c r="F257" s="8">
        <v>2</v>
      </c>
      <c r="O257" s="12">
        <f ca="1"/>
        <v>-0.6596317558805298</v>
      </c>
      <c r="P257" s="13">
        <f ca="1"/>
        <v>0.54666787851094201</v>
      </c>
      <c r="Q257" s="13">
        <f ca="1"/>
        <v>-0.3258801112360743</v>
      </c>
      <c r="R257" s="13">
        <f ca="1"/>
        <v>-0.23410735845778063</v>
      </c>
      <c r="S257" s="13">
        <f ca="1"/>
        <v>0.92508252444588646</v>
      </c>
      <c r="T257" s="14">
        <f ca="1"/>
        <v>-0.38343774418193721</v>
      </c>
    </row>
    <row r="258" spans="4:38" ht="24" customHeight="1" x14ac:dyDescent="0.3">
      <c r="E258" s="7" t="s">
        <v>75</v>
      </c>
      <c r="F258" s="8">
        <v>3</v>
      </c>
      <c r="O258" s="12">
        <f ca="1"/>
        <v>0.6668932476428151</v>
      </c>
      <c r="P258" s="13">
        <f ca="1"/>
        <v>0.81504341807871983</v>
      </c>
      <c r="Q258" s="13">
        <f ca="1"/>
        <v>-0.76283651985286172</v>
      </c>
      <c r="R258" s="13">
        <f ca="1"/>
        <v>-0.35290735905728488</v>
      </c>
      <c r="S258" s="13">
        <f ca="1"/>
        <v>-0.18668542282088918</v>
      </c>
      <c r="T258" s="14">
        <f ca="1"/>
        <v>0.62064247545786744</v>
      </c>
    </row>
    <row r="259" spans="4:38" ht="24" customHeight="1" x14ac:dyDescent="0.3">
      <c r="E259" s="7" t="s">
        <v>76</v>
      </c>
      <c r="F259" s="8">
        <v>2</v>
      </c>
      <c r="O259" s="12">
        <f ca="1"/>
        <v>0.94191293035268364</v>
      </c>
      <c r="P259" s="13">
        <f ca="1"/>
        <v>-0.58205629287591121</v>
      </c>
      <c r="Q259" s="13">
        <f ca="1"/>
        <v>-0.8855530138991492</v>
      </c>
      <c r="R259" s="13">
        <f ca="1"/>
        <v>0.71082868189945669</v>
      </c>
      <c r="S259" s="13">
        <f ca="1"/>
        <v>0.8767710152925714</v>
      </c>
      <c r="T259" s="14">
        <f ca="1"/>
        <v>7.242412355641914E-2</v>
      </c>
    </row>
    <row r="260" spans="4:38" ht="24" customHeight="1" x14ac:dyDescent="0.3">
      <c r="O260" s="12">
        <f ca="1"/>
        <v>0.78861364574271908</v>
      </c>
      <c r="P260" s="13">
        <f ca="1"/>
        <v>0.48191288416200795</v>
      </c>
      <c r="Q260" s="13">
        <f ca="1"/>
        <v>-0.25285237213356648</v>
      </c>
      <c r="R260" s="13">
        <f ca="1"/>
        <v>-0.80141594364876223</v>
      </c>
      <c r="S260" s="13">
        <f ca="1"/>
        <v>-0.61327629726453425</v>
      </c>
      <c r="T260" s="14">
        <f ca="1"/>
        <v>-0.70807815305008459</v>
      </c>
    </row>
    <row r="261" spans="4:38" ht="24" customHeight="1" x14ac:dyDescent="0.3">
      <c r="O261" s="12">
        <f ca="1"/>
        <v>0.73496457480701904</v>
      </c>
      <c r="P261" s="13">
        <f ca="1"/>
        <v>0.97595530165009148</v>
      </c>
      <c r="Q261" s="13">
        <f ca="1"/>
        <v>0.71319675015410411</v>
      </c>
      <c r="R261" s="13">
        <f ca="1"/>
        <v>-0.59937959301034027</v>
      </c>
      <c r="S261" s="13">
        <f ca="1"/>
        <v>-0.96288056188529891</v>
      </c>
      <c r="T261" s="14">
        <f ca="1"/>
        <v>0.87082415734145702</v>
      </c>
    </row>
    <row r="262" spans="4:38" ht="24" customHeight="1" x14ac:dyDescent="0.3">
      <c r="O262" s="12">
        <f ca="1"/>
        <v>-0.53735922196952313</v>
      </c>
      <c r="P262" s="13">
        <f ca="1"/>
        <v>0.95310968771683724</v>
      </c>
      <c r="Q262" s="13">
        <f ca="1"/>
        <v>-0.53840626403844194</v>
      </c>
      <c r="R262" s="13">
        <f ca="1"/>
        <v>-0.95208203230031341</v>
      </c>
      <c r="S262" s="13">
        <f ca="1"/>
        <v>0.51046326534814002</v>
      </c>
      <c r="T262" s="14">
        <f ca="1"/>
        <v>-0.91087158620699027</v>
      </c>
    </row>
    <row r="263" spans="4:38" ht="24" customHeight="1" x14ac:dyDescent="0.3">
      <c r="O263" s="15">
        <f ca="1"/>
        <v>-0.79895264386163589</v>
      </c>
      <c r="P263" s="16">
        <f ca="1"/>
        <v>-0.71604036464854914</v>
      </c>
      <c r="Q263" s="16">
        <f ca="1"/>
        <v>0.26917116946412945</v>
      </c>
      <c r="R263" s="16">
        <f ca="1"/>
        <v>0.91095836644480244</v>
      </c>
      <c r="S263" s="16">
        <f ca="1"/>
        <v>-0.88287656393708458</v>
      </c>
      <c r="T263" s="17">
        <f ca="1"/>
        <v>0.959025572898208</v>
      </c>
    </row>
    <row r="265" spans="4:38" ht="24" customHeight="1" x14ac:dyDescent="0.3">
      <c r="D265" s="3" t="s">
        <v>77</v>
      </c>
      <c r="V265" s="3" t="s">
        <v>89</v>
      </c>
    </row>
    <row r="266" spans="4:38" ht="24" customHeight="1" x14ac:dyDescent="0.3">
      <c r="D266" s="7" t="s">
        <v>78</v>
      </c>
      <c r="E266" s="18" cm="1">
        <f t="array" aca="1" ref="E266:L269" ca="1">(_xlfn.RANDARRAY(F255,F254)-0.5)*2</f>
        <v>0.84655562073934698</v>
      </c>
      <c r="F266" s="18">
        <f ca="1"/>
        <v>0.7159805009213791</v>
      </c>
      <c r="G266" s="18">
        <f ca="1"/>
        <v>0.97195599029836588</v>
      </c>
      <c r="H266" s="18">
        <f ca="1"/>
        <v>0.70905393101859993</v>
      </c>
      <c r="I266" s="18">
        <f ca="1"/>
        <v>-0.86285326229327142</v>
      </c>
      <c r="J266" s="18">
        <f ca="1"/>
        <v>-0.91496255002955351</v>
      </c>
      <c r="K266" s="18">
        <f ca="1"/>
        <v>-0.5312795524263656</v>
      </c>
      <c r="L266" s="18">
        <f ca="1"/>
        <v>0.38504670853074963</v>
      </c>
      <c r="N266" s="7" t="s">
        <v>79</v>
      </c>
      <c r="O266" s="9" cm="1">
        <f t="array" aca="1" ref="O266:T269" ca="1">MMULT(_xlfn.ANCHORARRAY(E266),_xlfn.ANCHORARRAY(O256))</f>
        <v>-0.18225650277507233</v>
      </c>
      <c r="P266" s="10">
        <f ca="1"/>
        <v>-0.53469816735286879</v>
      </c>
      <c r="Q266" s="10">
        <f ca="1"/>
        <v>-2.4703067551589757</v>
      </c>
      <c r="R266" s="10">
        <f ca="1"/>
        <v>2.4215500725041634</v>
      </c>
      <c r="S266" s="10">
        <f ca="1"/>
        <v>1.7059024957134927</v>
      </c>
      <c r="T266" s="11">
        <f ca="1"/>
        <v>0.92716692489972341</v>
      </c>
      <c r="V266" s="7" t="s">
        <v>54</v>
      </c>
      <c r="W266" s="18" cm="1">
        <f t="array" aca="1" ref="W266:AD268" ca="1">(_xlfn.RANDARRAY(F256,F254)-0.5)*2</f>
        <v>-8.8791113391968324E-3</v>
      </c>
      <c r="X266" s="18">
        <f ca="1"/>
        <v>-5.9884957053306209E-2</v>
      </c>
      <c r="Y266" s="18">
        <f ca="1"/>
        <v>-0.22519150537552068</v>
      </c>
      <c r="Z266" s="18">
        <f ca="1"/>
        <v>-0.79215402330104956</v>
      </c>
      <c r="AA266" s="18">
        <f ca="1"/>
        <v>-0.24626446708135363</v>
      </c>
      <c r="AB266" s="18">
        <f ca="1"/>
        <v>0.82014861274478834</v>
      </c>
      <c r="AC266" s="18">
        <f ca="1"/>
        <v>0.59015087854437542</v>
      </c>
      <c r="AD266" s="18">
        <f ca="1"/>
        <v>-0.28338448754422663</v>
      </c>
      <c r="AF266" s="7" t="s">
        <v>55</v>
      </c>
      <c r="AG266" s="9" cm="1">
        <f t="array" aca="1" ref="AG266:AL268" ca="1">MMULT(_xlfn.ANCHORARRAY(W266),_xlfn.ANCHORARRAY(O256))</f>
        <v>-0.54261725740958699</v>
      </c>
      <c r="AH266" s="10">
        <f ca="1"/>
        <v>1.6837073887349714</v>
      </c>
      <c r="AI266" s="10">
        <f ca="1"/>
        <v>1.1546015271666445</v>
      </c>
      <c r="AJ266" s="10">
        <f ca="1"/>
        <v>-1.5873167978452523</v>
      </c>
      <c r="AK266" s="10">
        <f ca="1"/>
        <v>-0.79307691518450918</v>
      </c>
      <c r="AL266" s="11">
        <f ca="1"/>
        <v>-9.3655665036110392E-2</v>
      </c>
    </row>
    <row r="267" spans="4:38" ht="24" customHeight="1" x14ac:dyDescent="0.3">
      <c r="E267" s="18">
        <f ca="1"/>
        <v>-4.1905651817493617E-2</v>
      </c>
      <c r="F267" s="18">
        <f ca="1"/>
        <v>-0.78166625917973231</v>
      </c>
      <c r="G267" s="18">
        <f ca="1"/>
        <v>-9.3622606758761329E-2</v>
      </c>
      <c r="H267" s="18">
        <f ca="1"/>
        <v>0.54986622778414462</v>
      </c>
      <c r="I267" s="18">
        <f ca="1"/>
        <v>0.3402259695725105</v>
      </c>
      <c r="J267" s="18">
        <f ca="1"/>
        <v>-0.80295688279474442</v>
      </c>
      <c r="K267" s="18">
        <f ca="1"/>
        <v>-0.15379863105481251</v>
      </c>
      <c r="L267" s="18">
        <f ca="1"/>
        <v>-0.80858427080405226</v>
      </c>
      <c r="O267" s="12">
        <f ca="1"/>
        <v>1.3606514872790467</v>
      </c>
      <c r="P267" s="13">
        <f ca="1"/>
        <v>-1.0498426154474134</v>
      </c>
      <c r="Q267" s="13">
        <f ca="1"/>
        <v>-0.9135850087335774</v>
      </c>
      <c r="R267" s="13">
        <f ca="1"/>
        <v>0.2089325851946956</v>
      </c>
      <c r="S267" s="13">
        <f ca="1"/>
        <v>0.98603628428078205</v>
      </c>
      <c r="T267" s="14">
        <f ca="1"/>
        <v>-1.2881111325233066</v>
      </c>
      <c r="W267" s="18">
        <f ca="1"/>
        <v>1.9917486427428521E-2</v>
      </c>
      <c r="X267" s="18">
        <f ca="1"/>
        <v>-4.3867649105373552E-2</v>
      </c>
      <c r="Y267" s="18">
        <f ca="1"/>
        <v>-0.18165135023389611</v>
      </c>
      <c r="Z267" s="18">
        <f ca="1"/>
        <v>-0.81113149379121641</v>
      </c>
      <c r="AA267" s="18">
        <f ca="1"/>
        <v>-1.0237258346384781E-2</v>
      </c>
      <c r="AB267" s="18">
        <f ca="1"/>
        <v>-0.43293270477068369</v>
      </c>
      <c r="AC267" s="18">
        <f ca="1"/>
        <v>0.5917573832779599</v>
      </c>
      <c r="AD267" s="18">
        <f ca="1"/>
        <v>0.7266147592967056</v>
      </c>
      <c r="AG267" s="12">
        <f ca="1"/>
        <v>-2.0727892653631779</v>
      </c>
      <c r="AH267" s="13">
        <f ca="1"/>
        <v>-6.5166991983128086E-2</v>
      </c>
      <c r="AI267" s="13">
        <f ca="1"/>
        <v>0.42260393176204686</v>
      </c>
      <c r="AJ267" s="13">
        <f ca="1"/>
        <v>-0.12818687016813124</v>
      </c>
      <c r="AK267" s="13">
        <f ca="1"/>
        <v>-0.63875014256452067</v>
      </c>
      <c r="AL267" s="14">
        <f ca="1"/>
        <v>-0.36942780527897812</v>
      </c>
    </row>
    <row r="268" spans="4:38" ht="24" customHeight="1" x14ac:dyDescent="0.3">
      <c r="E268" s="18">
        <f ca="1"/>
        <v>0.70016027139574533</v>
      </c>
      <c r="F268" s="18">
        <f ca="1"/>
        <v>0.73359609459820296</v>
      </c>
      <c r="G268" s="18">
        <f ca="1"/>
        <v>0.68564809477804323</v>
      </c>
      <c r="H268" s="18">
        <f ca="1"/>
        <v>0.57915114378357213</v>
      </c>
      <c r="I268" s="18">
        <f ca="1"/>
        <v>0.83915336730136181</v>
      </c>
      <c r="J268" s="18">
        <f ca="1"/>
        <v>0.45048817904690974</v>
      </c>
      <c r="K268" s="18">
        <f ca="1"/>
        <v>0.34290968235469022</v>
      </c>
      <c r="L268" s="18">
        <f ca="1"/>
        <v>-9.4979098132923045E-2</v>
      </c>
      <c r="O268" s="12">
        <f ca="1"/>
        <v>1.6920182315847487</v>
      </c>
      <c r="P268" s="13">
        <f ca="1"/>
        <v>2.5111439417368877</v>
      </c>
      <c r="Q268" s="13">
        <f ca="1"/>
        <v>-2.0566919114681865</v>
      </c>
      <c r="R268" s="13">
        <f ca="1"/>
        <v>-1.0832490211024437</v>
      </c>
      <c r="S268" s="13">
        <f ca="1"/>
        <v>0.20707174454535143</v>
      </c>
      <c r="T268" s="14">
        <f ca="1"/>
        <v>-0.51860744061152619</v>
      </c>
      <c r="W268" s="18">
        <f ca="1"/>
        <v>-0.60654686212808739</v>
      </c>
      <c r="X268" s="18">
        <f ca="1"/>
        <v>-0.41989144101012599</v>
      </c>
      <c r="Y268" s="18">
        <f ca="1"/>
        <v>0.58759778706710586</v>
      </c>
      <c r="Z268" s="18">
        <f ca="1"/>
        <v>-0.34358953893233712</v>
      </c>
      <c r="AA268" s="18">
        <f ca="1"/>
        <v>-0.66930799522790219</v>
      </c>
      <c r="AB268" s="18">
        <f ca="1"/>
        <v>-0.85517178908871605</v>
      </c>
      <c r="AC268" s="18">
        <f ca="1"/>
        <v>-0.3087472200145891</v>
      </c>
      <c r="AD268" s="18">
        <f ca="1"/>
        <v>0.13372735990704721</v>
      </c>
      <c r="AG268" s="15">
        <f ca="1"/>
        <v>-1.0021543003867488</v>
      </c>
      <c r="AH268" s="16">
        <f ca="1"/>
        <v>-1.6604607872478769</v>
      </c>
      <c r="AI268" s="16">
        <f ca="1"/>
        <v>0.34404995359856805</v>
      </c>
      <c r="AJ268" s="16">
        <f ca="1"/>
        <v>0.87380530079256602</v>
      </c>
      <c r="AK268" s="16">
        <f ca="1"/>
        <v>0.29905740602816289</v>
      </c>
      <c r="AL268" s="17">
        <f ca="1"/>
        <v>0.72568197908674914</v>
      </c>
    </row>
    <row r="269" spans="4:38" ht="24" customHeight="1" x14ac:dyDescent="0.3">
      <c r="E269" s="18">
        <f ca="1"/>
        <v>0.40467820450712377</v>
      </c>
      <c r="F269" s="18">
        <f ca="1"/>
        <v>-0.57269341277633501</v>
      </c>
      <c r="G269" s="18">
        <f ca="1"/>
        <v>0.10698949148124148</v>
      </c>
      <c r="H269" s="18">
        <f ca="1"/>
        <v>-0.47047505025628045</v>
      </c>
      <c r="I269" s="18">
        <f ca="1"/>
        <v>0.40286218706993848</v>
      </c>
      <c r="J269" s="18">
        <f ca="1"/>
        <v>-0.67560874324198483</v>
      </c>
      <c r="K269" s="18">
        <f ca="1"/>
        <v>-0.84370645805722555</v>
      </c>
      <c r="L269" s="18">
        <f ca="1"/>
        <v>-0.24632921847544464</v>
      </c>
      <c r="O269" s="15">
        <f ca="1"/>
        <v>0.64415409033372661</v>
      </c>
      <c r="P269" s="16">
        <f ca="1"/>
        <v>-0.66962468187204194</v>
      </c>
      <c r="Q269" s="16">
        <f ca="1"/>
        <v>-6.750330002562345E-2</v>
      </c>
      <c r="R269" s="16">
        <f ca="1"/>
        <v>0.58139998671149762</v>
      </c>
      <c r="S269" s="16">
        <f ca="1"/>
        <v>-0.86554277811524361</v>
      </c>
      <c r="T269" s="17">
        <f ca="1"/>
        <v>-0.14689967567165921</v>
      </c>
    </row>
    <row r="271" spans="4:38" ht="24" customHeight="1" x14ac:dyDescent="0.3">
      <c r="D271" s="7" t="s">
        <v>80</v>
      </c>
      <c r="E271" s="18" cm="1">
        <f t="array" aca="1" ref="E271:H273" ca="1">(_xlfn.RANDARRAY(F258,F255)-0.5)*2</f>
        <v>-0.19175256554550657</v>
      </c>
      <c r="F271" s="18">
        <f ca="1"/>
        <v>0.60104532553524859</v>
      </c>
      <c r="G271" s="18">
        <f ca="1"/>
        <v>-0.93214360465732371</v>
      </c>
      <c r="H271" s="18">
        <f ca="1"/>
        <v>0.15455979278782372</v>
      </c>
      <c r="N271" s="7" t="s">
        <v>81</v>
      </c>
      <c r="O271" s="9" cm="1">
        <f t="array" aca="1" ref="O271:T273" ca="1">MMULT(_xlfn.ANCHORARRAY(E271),_xlfn.ANCHORARRAY(O266))</f>
        <v>-0.62488228270378154</v>
      </c>
      <c r="P271" s="10">
        <f ca="1"/>
        <v>-2.9727170689197524</v>
      </c>
      <c r="Q271" s="10">
        <f ca="1"/>
        <v>1.8312805749687953</v>
      </c>
      <c r="R271" s="10">
        <f ca="1"/>
        <v>0.76084422342860791</v>
      </c>
      <c r="S271" s="10">
        <f ca="1"/>
        <v>-6.1257395466108894E-2</v>
      </c>
      <c r="T271" s="11">
        <f ca="1"/>
        <v>-0.49128798585018169</v>
      </c>
      <c r="V271" s="7" t="s">
        <v>90</v>
      </c>
      <c r="W271" s="18" cm="1">
        <f t="array" aca="1" ref="W271:Y273" ca="1">(_xlfn.RANDARRAY(F258,F256)-0.5)*2</f>
        <v>0.32182496963460894</v>
      </c>
      <c r="X271" s="18">
        <f ca="1"/>
        <v>1.0726318999750628E-2</v>
      </c>
      <c r="Y271" s="18">
        <f ca="1"/>
        <v>0.39843353367940582</v>
      </c>
      <c r="AF271" s="7" t="s">
        <v>91</v>
      </c>
      <c r="AG271" s="9" cm="1">
        <f t="array" aca="1" ref="AG271:AL273" ca="1">MMULT(_xlfn.ANCHORARRAY(W271),_xlfn.ANCHORARRAY(AG266))</f>
        <v>-0.59615306046370442</v>
      </c>
      <c r="AH271" s="10">
        <f ca="1"/>
        <v>-0.12042318169032595</v>
      </c>
      <c r="AI271" s="10">
        <f ca="1"/>
        <v>0.51319362477762009</v>
      </c>
      <c r="AJ271" s="10">
        <f ca="1"/>
        <v>-0.16405981978547779</v>
      </c>
      <c r="AK271" s="10">
        <f ca="1"/>
        <v>-0.14292889288064947</v>
      </c>
      <c r="AL271" s="11">
        <f ca="1"/>
        <v>0.25503270321184274</v>
      </c>
    </row>
    <row r="272" spans="4:38" ht="24" customHeight="1" x14ac:dyDescent="0.3">
      <c r="E272" s="18">
        <f ca="1"/>
        <v>-0.6163946498333619</v>
      </c>
      <c r="F272" s="18">
        <f ca="1"/>
        <v>0.84274671676906143</v>
      </c>
      <c r="G272" s="18">
        <f ca="1"/>
        <v>-0.78279328629930367</v>
      </c>
      <c r="H272" s="18">
        <f ca="1"/>
        <v>-0.94829194347968793</v>
      </c>
      <c r="O272" s="12">
        <f ca="1"/>
        <v>-0.67632013942427105</v>
      </c>
      <c r="P272" s="13">
        <f ca="1"/>
        <v>-1.8858732552089392</v>
      </c>
      <c r="Q272" s="13">
        <f ca="1"/>
        <v>2.4267405565835176</v>
      </c>
      <c r="R272" s="13">
        <f ca="1"/>
        <v>-1.0199301210246792</v>
      </c>
      <c r="S272" s="13">
        <f ca="1"/>
        <v>0.43816254150894451</v>
      </c>
      <c r="T272" s="14">
        <f ca="1"/>
        <v>-1.111785958103553</v>
      </c>
      <c r="W272" s="18">
        <f ca="1"/>
        <v>-0.9967649190933483</v>
      </c>
      <c r="X272" s="18">
        <f ca="1"/>
        <v>0.3462437646800538</v>
      </c>
      <c r="Y272" s="18">
        <f ca="1"/>
        <v>-0.10212153655338918</v>
      </c>
      <c r="AG272" s="12">
        <f ca="1"/>
        <v>-7.4486974928146737E-2</v>
      </c>
      <c r="AH272" s="13">
        <f ca="1"/>
        <v>-1.5312553167659964</v>
      </c>
      <c r="AI272" s="13">
        <f ca="1"/>
        <v>-1.039677231422041</v>
      </c>
      <c r="AJ272" s="13">
        <f ca="1"/>
        <v>1.4485634551047353</v>
      </c>
      <c r="AK272" s="13">
        <f ca="1"/>
        <v>0.53880779132596213</v>
      </c>
      <c r="AL272" s="14">
        <f ca="1"/>
        <v>-0.1086671514483742</v>
      </c>
    </row>
    <row r="273" spans="4:38" ht="24" customHeight="1" x14ac:dyDescent="0.3">
      <c r="E273" s="18">
        <f ca="1"/>
        <v>-0.28256382927435908</v>
      </c>
      <c r="F273" s="18">
        <f ca="1"/>
        <v>-0.66129913820157338</v>
      </c>
      <c r="G273" s="18">
        <f ca="1"/>
        <v>-0.76834244494079273</v>
      </c>
      <c r="H273" s="18">
        <f ca="1"/>
        <v>-1.9947692124635097E-2</v>
      </c>
      <c r="O273" s="15">
        <f ca="1"/>
        <v>-2.1611973730110696</v>
      </c>
      <c r="P273" s="16">
        <f ca="1"/>
        <v>-1.0707146302834705</v>
      </c>
      <c r="Q273" s="16">
        <f ca="1"/>
        <v>2.8837625419631556</v>
      </c>
      <c r="R273" s="16">
        <f ca="1"/>
        <v>-1.7007863804731835E-3</v>
      </c>
      <c r="S273" s="16">
        <f ca="1"/>
        <v>-1.2759277162114395</v>
      </c>
      <c r="T273" s="17">
        <f ca="1"/>
        <v>0.99124136355677139</v>
      </c>
      <c r="W273" s="18">
        <f ca="1"/>
        <v>0.36484468585182439</v>
      </c>
      <c r="X273" s="18">
        <f ca="1"/>
        <v>-0.95578051430745292</v>
      </c>
      <c r="Y273" s="18">
        <f ca="1"/>
        <v>-2.5140274785040884E-2</v>
      </c>
      <c r="AG273" s="15">
        <f ca="1"/>
        <v>1.8083550017711398</v>
      </c>
      <c r="AH273" s="16">
        <f ca="1"/>
        <v>0.71832147488410703</v>
      </c>
      <c r="AI273" s="16">
        <f ca="1"/>
        <v>8.6841178420216693E-3</v>
      </c>
      <c r="AJ273" s="16">
        <f ca="1"/>
        <v>-0.47857329113096619</v>
      </c>
      <c r="AK273" s="16">
        <f ca="1"/>
        <v>0.31363665643340066</v>
      </c>
      <c r="AL273" s="17">
        <f ca="1"/>
        <v>0.3006782816798787</v>
      </c>
    </row>
    <row r="275" spans="4:38" ht="24" customHeight="1" x14ac:dyDescent="0.3">
      <c r="D275" s="7" t="s">
        <v>82</v>
      </c>
      <c r="E275" s="18" cm="1">
        <f t="array" aca="1" ref="E275:H277" ca="1">(_xlfn.RANDARRAY(F258,F255)-0.5)*2</f>
        <v>8.9182783330618687E-2</v>
      </c>
      <c r="F275" s="18">
        <f ca="1"/>
        <v>-0.90632171558451136</v>
      </c>
      <c r="G275" s="18">
        <f ca="1"/>
        <v>0.50514596271458823</v>
      </c>
      <c r="H275" s="18">
        <f ca="1"/>
        <v>0.4322683890077661</v>
      </c>
      <c r="N275" s="7" t="s">
        <v>83</v>
      </c>
      <c r="O275" s="9" cm="1">
        <f t="array" aca="1" ref="O275:T277" ca="1">MMULT(_xlfn.ANCHORARRAY(E275),_xlfn.ANCHORARRAY(O266))</f>
        <v>-0.11627850303511189</v>
      </c>
      <c r="P275" s="10">
        <f ca="1"/>
        <v>1.8828459310106405</v>
      </c>
      <c r="Q275" s="10">
        <f ca="1"/>
        <v>-0.4604160580384879</v>
      </c>
      <c r="R275" s="10">
        <f ca="1"/>
        <v>-0.26927759761429426</v>
      </c>
      <c r="S275" s="10">
        <f ca="1"/>
        <v>-1.0110742907033892</v>
      </c>
      <c r="T275" s="11">
        <f ca="1"/>
        <v>0.92465787745966954</v>
      </c>
      <c r="V275" s="7" t="s">
        <v>92</v>
      </c>
      <c r="W275" s="18" cm="1">
        <f t="array" aca="1" ref="W275:Y277" ca="1">(_xlfn.RANDARRAY(F258,F256)-0.5)*2</f>
        <v>0.21172116851694467</v>
      </c>
      <c r="X275" s="18">
        <f ca="1"/>
        <v>0.83959987795080293</v>
      </c>
      <c r="Y275" s="18">
        <f ca="1"/>
        <v>-0.96557246005039055</v>
      </c>
      <c r="AF275" s="7" t="s">
        <v>93</v>
      </c>
      <c r="AG275" s="9" cm="1">
        <f t="array" aca="1" ref="AG275:AL277" ca="1">MMULT(_xlfn.ANCHORARRAY(W275),_xlfn.ANCHORARRAY(AG266))</f>
        <v>-0.88754458083836496</v>
      </c>
      <c r="AH275" s="10">
        <f ca="1"/>
        <v>1.9050575044282672</v>
      </c>
      <c r="AI275" s="10">
        <f ca="1"/>
        <v>0.26706663395572278</v>
      </c>
      <c r="AJ275" s="10">
        <f ca="1"/>
        <v>-1.2874165816857794</v>
      </c>
      <c r="AK275" s="10">
        <f ca="1"/>
        <v>-0.99296730817980938</v>
      </c>
      <c r="AL275" s="11">
        <f ca="1"/>
        <v>-1.0306989608245682</v>
      </c>
    </row>
    <row r="276" spans="4:38" ht="24" customHeight="1" x14ac:dyDescent="0.3">
      <c r="E276" s="18">
        <f ca="1"/>
        <v>9.1410302675660748E-2</v>
      </c>
      <c r="F276" s="18">
        <f ca="1"/>
        <v>0.18240143824182242</v>
      </c>
      <c r="G276" s="18">
        <f ca="1"/>
        <v>-0.48963143434316514</v>
      </c>
      <c r="H276" s="18">
        <f ca="1"/>
        <v>-2.582783993048654E-2</v>
      </c>
      <c r="O276" s="12">
        <f ca="1"/>
        <v>-0.61357775625903788</v>
      </c>
      <c r="P276" s="13">
        <f ca="1"/>
        <v>-1.4526097752408995</v>
      </c>
      <c r="Q276" s="13">
        <f ca="1"/>
        <v>0.61631376730201193</v>
      </c>
      <c r="R276" s="13">
        <f ca="1"/>
        <v>0.77484069526781596</v>
      </c>
      <c r="S276" s="13">
        <f ca="1"/>
        <v>0.25675776491223973</v>
      </c>
      <c r="T276" s="14">
        <f ca="1"/>
        <v>0.1075198923651389</v>
      </c>
      <c r="W276" s="18">
        <f ca="1"/>
        <v>0.72627513525732201</v>
      </c>
      <c r="X276" s="18">
        <f ca="1"/>
        <v>0.72975914094771932</v>
      </c>
      <c r="Y276" s="18">
        <f ca="1"/>
        <v>-3.8104976281503777E-2</v>
      </c>
      <c r="AG276" s="12">
        <f ca="1"/>
        <v>-1.8685392698285479</v>
      </c>
      <c r="AH276" s="13">
        <f ca="1"/>
        <v>1.2385504223139367</v>
      </c>
      <c r="AI276" s="13">
        <f ca="1"/>
        <v>1.1338474471935391</v>
      </c>
      <c r="AJ276" s="13">
        <f ca="1"/>
        <v>-1.2796705925673051</v>
      </c>
      <c r="AK276" s="13">
        <f ca="1"/>
        <v>-1.053521374526718</v>
      </c>
      <c r="AL276" s="14">
        <f ca="1"/>
        <v>-0.36526519321531919</v>
      </c>
    </row>
    <row r="277" spans="4:38" ht="24" customHeight="1" x14ac:dyDescent="0.3">
      <c r="E277" s="18">
        <f ca="1"/>
        <v>-0.311803879483596</v>
      </c>
      <c r="F277" s="18">
        <f ca="1"/>
        <v>-0.30247629669308962</v>
      </c>
      <c r="G277" s="18">
        <f ca="1"/>
        <v>0.44902679067503382</v>
      </c>
      <c r="H277" s="18">
        <f ca="1"/>
        <v>8.35642857109411E-2</v>
      </c>
      <c r="O277" s="15">
        <f ca="1"/>
        <v>0.45885325440293445</v>
      </c>
      <c r="P277" s="16">
        <f ca="1"/>
        <v>1.55588766621063</v>
      </c>
      <c r="Q277" s="16">
        <f ca="1"/>
        <v>0.1174384064655255</v>
      </c>
      <c r="R277" s="16">
        <f ca="1"/>
        <v>-1.2560694184443917</v>
      </c>
      <c r="S277" s="16">
        <f ca="1"/>
        <v>-0.80950732297126538</v>
      </c>
      <c r="T277" s="17">
        <f ca="1"/>
        <v>-0.14461536016447618</v>
      </c>
      <c r="W277" s="18">
        <f ca="1"/>
        <v>-0.98490507664269611</v>
      </c>
      <c r="X277" s="18">
        <f ca="1"/>
        <v>-0.96573260083385115</v>
      </c>
      <c r="Y277" s="18">
        <f ca="1"/>
        <v>0.28745001118996649</v>
      </c>
      <c r="AG277" s="15">
        <f ca="1"/>
        <v>2.248117394856064</v>
      </c>
      <c r="AH277" s="16">
        <f ca="1"/>
        <v>-2.0726575379644085</v>
      </c>
      <c r="AI277" s="16">
        <f ca="1"/>
        <v>-1.446398136737195</v>
      </c>
      <c r="AJ277" s="16">
        <f ca="1"/>
        <v>1.9383259554489127</v>
      </c>
      <c r="AK277" s="16">
        <f ca="1"/>
        <v>1.4839313711044175</v>
      </c>
      <c r="AL277" s="17">
        <f ca="1"/>
        <v>0.65760770817166514</v>
      </c>
    </row>
    <row r="279" spans="4:38" ht="24" customHeight="1" x14ac:dyDescent="0.3">
      <c r="D279" s="7" t="s">
        <v>84</v>
      </c>
      <c r="E279" s="18" cm="1">
        <f t="array" aca="1" ref="E279:H280" ca="1">(_xlfn.RANDARRAY(F259,F255)-0.5)*2</f>
        <v>0.81985509703072212</v>
      </c>
      <c r="F279" s="18">
        <f ca="1"/>
        <v>6.0036498821718354E-3</v>
      </c>
      <c r="G279" s="18">
        <f ca="1"/>
        <v>-0.16712891578922706</v>
      </c>
      <c r="H279" s="18">
        <f ca="1"/>
        <v>-0.99908265984744649</v>
      </c>
      <c r="N279" s="7" t="s">
        <v>85</v>
      </c>
      <c r="O279" s="9" cm="1">
        <f t="array" aca="1" ref="O279:T280" ca="1">MMULT(_xlfn.ANCHORARRAY(E279),_xlfn.ANCHORARRAY(O266))</f>
        <v>-1.0676034020884535</v>
      </c>
      <c r="P279" s="10">
        <f ca="1"/>
        <v>-0.19535226148071749</v>
      </c>
      <c r="Q279" s="10">
        <f ca="1"/>
        <v>-1.6196043631623167</v>
      </c>
      <c r="R279" s="10">
        <f ca="1"/>
        <v>1.5867501170157388</v>
      </c>
      <c r="S279" s="10">
        <f ca="1"/>
        <v>2.2346537775847533</v>
      </c>
      <c r="T279" s="11">
        <f ca="1"/>
        <v>0.98584837889874011</v>
      </c>
      <c r="V279" s="7" t="s">
        <v>94</v>
      </c>
      <c r="W279" s="18" cm="1">
        <f t="array" aca="1" ref="W279:AD280" ca="1">(_xlfn.RANDARRAY(F259,F254)-0.5)*2</f>
        <v>0.15571121631943718</v>
      </c>
      <c r="X279" s="18">
        <f ca="1"/>
        <v>0.94465524396381051</v>
      </c>
      <c r="Y279" s="18">
        <f ca="1"/>
        <v>0.13078433446833415</v>
      </c>
      <c r="Z279" s="18">
        <f ca="1"/>
        <v>-0.3884211809345115</v>
      </c>
      <c r="AA279" s="18">
        <f ca="1"/>
        <v>-0.40117037190541094</v>
      </c>
      <c r="AB279" s="18">
        <f ca="1"/>
        <v>0.26898584407852111</v>
      </c>
      <c r="AC279" s="18">
        <f ca="1"/>
        <v>0.30054996678898149</v>
      </c>
      <c r="AD279" s="18">
        <f ca="1"/>
        <v>-2.9090654718871178E-2</v>
      </c>
      <c r="AF279" s="7" t="s">
        <v>95</v>
      </c>
      <c r="AG279" s="9" cm="1">
        <f t="array" aca="1" ref="AG279:AL280" ca="1">MMULT(_xlfn.ANCHORARRAY(W279),_xlfn.ANCHORARRAY(O256))</f>
        <v>-1.0944986259753464</v>
      </c>
      <c r="AH279" s="10">
        <f ca="1"/>
        <v>1.3700073325098503</v>
      </c>
      <c r="AI279" s="10">
        <f ca="1"/>
        <v>-9.1384549869821349E-2</v>
      </c>
      <c r="AJ279" s="10">
        <f ca="1"/>
        <v>-0.63477078653763241</v>
      </c>
      <c r="AK279" s="10">
        <f ca="1"/>
        <v>0.63904877232140844</v>
      </c>
      <c r="AL279" s="11">
        <f ca="1"/>
        <v>-0.11466306607966113</v>
      </c>
    </row>
    <row r="280" spans="4:38" ht="24" customHeight="1" x14ac:dyDescent="0.3">
      <c r="E280" s="18">
        <f ca="1"/>
        <v>1.8152190049217864E-2</v>
      </c>
      <c r="F280" s="18">
        <f ca="1"/>
        <v>-0.29035157673478862</v>
      </c>
      <c r="G280" s="18">
        <f ca="1"/>
        <v>-0.44731314077283102</v>
      </c>
      <c r="H280" s="18">
        <f ca="1"/>
        <v>-0.54835780027502867</v>
      </c>
      <c r="O280" s="15">
        <f ca="1"/>
        <v>-1.5084645688227152</v>
      </c>
      <c r="P280" s="16">
        <f ca="1"/>
        <v>-0.46095624998400242</v>
      </c>
      <c r="Q280" s="16">
        <f ca="1"/>
        <v>1.1774206497018154</v>
      </c>
      <c r="R280" s="16">
        <f ca="1"/>
        <v>0.14902883566261854</v>
      </c>
      <c r="S280" s="16">
        <f ca="1"/>
        <v>0.12666989788231076</v>
      </c>
      <c r="T280" s="17">
        <f ca="1"/>
        <v>0.70336871466643247</v>
      </c>
      <c r="W280" s="18">
        <f ca="1"/>
        <v>0.52667108670201701</v>
      </c>
      <c r="X280" s="18">
        <f ca="1"/>
        <v>9.9067368424362368E-2</v>
      </c>
      <c r="Y280" s="18">
        <f ca="1"/>
        <v>0.37731933034738541</v>
      </c>
      <c r="Z280" s="18">
        <f ca="1"/>
        <v>0.51884967718814412</v>
      </c>
      <c r="AA280" s="18">
        <f ca="1"/>
        <v>0.50399673558541913</v>
      </c>
      <c r="AB280" s="18">
        <f ca="1"/>
        <v>0.87077113393662486</v>
      </c>
      <c r="AC280" s="18">
        <f ca="1"/>
        <v>0.14064861126824191</v>
      </c>
      <c r="AD280" s="18">
        <f ca="1"/>
        <v>-0.3111115164464664</v>
      </c>
      <c r="AG280" s="15">
        <f ca="1"/>
        <v>2.1025725947044749</v>
      </c>
      <c r="AH280" s="16">
        <f ca="1"/>
        <v>1.9977768514015641</v>
      </c>
      <c r="AI280" s="16">
        <f ca="1"/>
        <v>-0.95744418946684651</v>
      </c>
      <c r="AJ280" s="16">
        <f ca="1"/>
        <v>-0.92435093004927027</v>
      </c>
      <c r="AK280" s="16">
        <f ca="1"/>
        <v>-0.44669403637746841</v>
      </c>
      <c r="AL280" s="17">
        <f ca="1"/>
        <v>0.13388264518425563</v>
      </c>
    </row>
    <row r="282" spans="4:38" ht="24" customHeight="1" x14ac:dyDescent="0.3">
      <c r="D282" s="7" t="s">
        <v>86</v>
      </c>
      <c r="E282" s="18" cm="1">
        <f t="array" aca="1" ref="E282:H283" ca="1">(_xlfn.RANDARRAY(F259,F255)-0.5)*2</f>
        <v>0.23981717828734972</v>
      </c>
      <c r="F282" s="18">
        <f ca="1"/>
        <v>-0.79765810074029764</v>
      </c>
      <c r="G282" s="18">
        <f ca="1"/>
        <v>-0.43208659913518099</v>
      </c>
      <c r="H282" s="18">
        <f ca="1"/>
        <v>-0.61273144448273076</v>
      </c>
      <c r="N282" s="7" t="s">
        <v>87</v>
      </c>
      <c r="O282" s="9" cm="1">
        <f t="array" aca="1" ref="O282:T283" ca="1">MMULT(_xlfn.ANCHORARRAY(E282),_xlfn.ANCHORARRAY(O266))</f>
        <v>-2.2548347909323248</v>
      </c>
      <c r="P282" s="10">
        <f ca="1"/>
        <v>3.4454113844768874E-2</v>
      </c>
      <c r="Q282" s="10">
        <f ca="1"/>
        <v>1.0663368954320041</v>
      </c>
      <c r="R282" s="10">
        <f ca="1"/>
        <v>0.52588786824500677</v>
      </c>
      <c r="S282" s="10">
        <f ca="1"/>
        <v>6.3457243993487844E-2</v>
      </c>
      <c r="T282" s="11">
        <f ca="1"/>
        <v>1.5639162110101603</v>
      </c>
    </row>
    <row r="283" spans="4:38" ht="24" customHeight="1" x14ac:dyDescent="0.3">
      <c r="E283" s="18">
        <f ca="1"/>
        <v>-0.90102859829502435</v>
      </c>
      <c r="F283" s="18">
        <f ca="1"/>
        <v>-0.87207728270449136</v>
      </c>
      <c r="G283" s="18">
        <f ca="1"/>
        <v>0.12214972086030995</v>
      </c>
      <c r="H283" s="18">
        <f ca="1"/>
        <v>0.3398392116010136</v>
      </c>
      <c r="O283" s="15">
        <f ca="1"/>
        <v>-0.59678655762134514</v>
      </c>
      <c r="P283" s="16">
        <f ca="1"/>
        <v>1.4764930431548753</v>
      </c>
      <c r="Q283" s="16">
        <f ca="1"/>
        <v>2.7483691537528885</v>
      </c>
      <c r="R283" s="16">
        <f ca="1"/>
        <v>-2.2988272811356483</v>
      </c>
      <c r="S283" s="16">
        <f ca="1"/>
        <v>-2.6658183975116936</v>
      </c>
      <c r="T283" s="17">
        <f ca="1"/>
        <v>0.17465851747294533</v>
      </c>
    </row>
    <row r="286" spans="4:38" ht="24" customHeight="1" x14ac:dyDescent="0.3">
      <c r="D286" s="3" t="s">
        <v>88</v>
      </c>
      <c r="O286" s="9" cm="1">
        <f t="array" aca="1" ref="O286:T287" ca="1">IF(_xlfn.SEQUENCE(2,1)=1,COS(_xlfn.ANCHORARRAY(W286))*O279:T279-SIN(_xlfn.ANCHORARRAY(W286))*O280:T280,SIN(_xlfn.ANCHORARRAY(W286))*O279:T279+COS(_xlfn.ANCHORARRAY(W286))*O280:T280)</f>
        <v>0.69250058637400702</v>
      </c>
      <c r="P286" s="10">
        <f ca="1"/>
        <v>0.50044155761719988</v>
      </c>
      <c r="Q286" s="10">
        <f ca="1"/>
        <v>1.4372385554162621</v>
      </c>
      <c r="R286" s="10">
        <f ca="1"/>
        <v>-0.92438369718962254</v>
      </c>
      <c r="S286" s="10">
        <f ca="1"/>
        <v>0.75535361425179404</v>
      </c>
      <c r="T286" s="11">
        <f ca="1"/>
        <v>1.1431144403870612</v>
      </c>
      <c r="V286" s="7" t="s">
        <v>66</v>
      </c>
      <c r="W286" s="8" cm="1">
        <f t="array" ref="W286:AB286">_xlfn.SEQUENCE(1,F253,1)</f>
        <v>1</v>
      </c>
      <c r="X286" s="8">
        <v>2</v>
      </c>
      <c r="Y286" s="8">
        <v>3</v>
      </c>
      <c r="Z286" s="8">
        <v>4</v>
      </c>
      <c r="AA286" s="8">
        <v>5</v>
      </c>
      <c r="AB286" s="8">
        <v>6</v>
      </c>
      <c r="AF286" s="24" t="s">
        <v>96</v>
      </c>
      <c r="AG286" s="9" cm="1">
        <f t="array" aca="1" ref="AG286:AL287" ca="1">IF(_xlfn.SEQUENCE(2,1)=1,COS(_xlfn.ANCHORARRAY(W286))*AG279:AL279-SIN(_xlfn.ANCHORARRAY(W286))*AG280:AL280,SIN(_xlfn.ANCHORARRAY(W286))*AG279:AL279+COS(_xlfn.ANCHORARRAY(W286))*AG280:AL280)</f>
        <v>-2.3606139632800591</v>
      </c>
      <c r="AH286" s="10">
        <f ca="1"/>
        <v>-2.3866975678217179</v>
      </c>
      <c r="AI286" s="10">
        <f ca="1"/>
        <v>0.22558455041076675</v>
      </c>
      <c r="AJ286" s="10">
        <f ca="1"/>
        <v>-0.28463721507059092</v>
      </c>
      <c r="AK286" s="10">
        <f ca="1"/>
        <v>-0.24707178345533104</v>
      </c>
      <c r="AL286" s="11">
        <f ca="1"/>
        <v>-7.2687183021569263E-2</v>
      </c>
    </row>
    <row r="287" spans="4:38" ht="24" customHeight="1" x14ac:dyDescent="0.3">
      <c r="O287" s="12">
        <f ca="1"/>
        <v>-1.7133841709949338</v>
      </c>
      <c r="P287" s="13">
        <f ca="1"/>
        <v>1.4192176528482203E-2</v>
      </c>
      <c r="Q287" s="13">
        <f ca="1"/>
        <v>-1.3941961893304808</v>
      </c>
      <c r="R287" s="13">
        <f ca="1"/>
        <v>-1.2982681957432605</v>
      </c>
      <c r="S287" s="13">
        <f ca="1"/>
        <v>-2.1069322927280019</v>
      </c>
      <c r="T287" s="14">
        <f ca="1"/>
        <v>0.39989242444357298</v>
      </c>
      <c r="AG287" s="15">
        <f ca="1"/>
        <v>0.21503598450362105</v>
      </c>
      <c r="AH287" s="16">
        <f ca="1"/>
        <v>0.41437562534565142</v>
      </c>
      <c r="AI287" s="16">
        <f ca="1"/>
        <v>0.93496637507169678</v>
      </c>
      <c r="AJ287" s="16">
        <f ca="1"/>
        <v>1.0845922040663087</v>
      </c>
      <c r="AK287" s="16">
        <f ca="1"/>
        <v>-0.73950958706489822</v>
      </c>
      <c r="AL287" s="17">
        <f ca="1"/>
        <v>0.16058877553774087</v>
      </c>
    </row>
    <row r="288" spans="4:38" ht="24" customHeight="1" x14ac:dyDescent="0.3">
      <c r="O288" s="12" cm="1">
        <f t="array" aca="1" ref="O288:T289" ca="1">IF(_xlfn.SEQUENCE(2,1)=1,COS(_xlfn.ANCHORARRAY(W286))*O282:T282-SIN(_xlfn.ANCHORARRAY(W286))*O283:T283,SIN(_xlfn.ANCHORARRAY(W286))*O282:T282+COS(_xlfn.ANCHORARRAY(W286))*O283:T283)</f>
        <v>-0.71611386453069215</v>
      </c>
      <c r="P288" s="13">
        <f ca="1"/>
        <v>-1.3569092953492841</v>
      </c>
      <c r="Q288" s="13">
        <f ca="1"/>
        <v>-1.4435154024549959</v>
      </c>
      <c r="R288" s="13">
        <f ca="1"/>
        <v>-2.0835014730133112</v>
      </c>
      <c r="S288" s="13">
        <f ca="1"/>
        <v>-2.5383175527028849</v>
      </c>
      <c r="T288" s="14">
        <f ca="1"/>
        <v>1.5504281732971688</v>
      </c>
    </row>
    <row r="289" spans="4:20" ht="24" customHeight="1" x14ac:dyDescent="0.3">
      <c r="O289" s="15">
        <f ca="1"/>
        <v>-2.2198232052988529</v>
      </c>
      <c r="P289" s="16">
        <f ca="1"/>
        <v>-0.58310887203015727</v>
      </c>
      <c r="Q289" s="16">
        <f ca="1"/>
        <v>-2.5703833688255773</v>
      </c>
      <c r="R289" s="16">
        <f ca="1"/>
        <v>1.1046205368415694</v>
      </c>
      <c r="S289" s="16">
        <f ca="1"/>
        <v>-0.81704256435481981</v>
      </c>
      <c r="T289" s="17">
        <f ca="1"/>
        <v>-0.26928050845285456</v>
      </c>
    </row>
    <row r="291" spans="4:20" ht="24" customHeight="1" x14ac:dyDescent="0.3">
      <c r="D291" s="3" t="s">
        <v>97</v>
      </c>
    </row>
    <row r="292" spans="4:20" ht="24" customHeight="1" x14ac:dyDescent="0.3">
      <c r="D292" s="7" t="s">
        <v>98</v>
      </c>
      <c r="E292" s="9" cm="1">
        <f t="array" aca="1" ref="E292:G297" ca="1">TRANSPOSE(_xlfn.ANCHORARRAY(AG271))</f>
        <v>-0.59615306046370442</v>
      </c>
      <c r="F292" s="10">
        <f ca="1"/>
        <v>-7.4486974928146737E-2</v>
      </c>
      <c r="G292" s="11">
        <f ca="1"/>
        <v>1.8083550017711398</v>
      </c>
    </row>
    <row r="293" spans="4:20" ht="24" customHeight="1" x14ac:dyDescent="0.3">
      <c r="E293" s="12">
        <f ca="1"/>
        <v>-0.12042318169032595</v>
      </c>
      <c r="F293" s="13">
        <f ca="1"/>
        <v>-1.5312553167659964</v>
      </c>
      <c r="G293" s="14">
        <f ca="1"/>
        <v>0.71832147488410703</v>
      </c>
    </row>
    <row r="294" spans="4:20" ht="24" customHeight="1" x14ac:dyDescent="0.3">
      <c r="E294" s="12">
        <f ca="1"/>
        <v>0.51319362477762009</v>
      </c>
      <c r="F294" s="13">
        <f ca="1"/>
        <v>-1.039677231422041</v>
      </c>
      <c r="G294" s="14">
        <f ca="1"/>
        <v>8.6841178420216693E-3</v>
      </c>
    </row>
    <row r="295" spans="4:20" ht="24" customHeight="1" x14ac:dyDescent="0.3">
      <c r="E295" s="12">
        <f ca="1"/>
        <v>-0.16405981978547779</v>
      </c>
      <c r="F295" s="13">
        <f ca="1"/>
        <v>1.4485634551047353</v>
      </c>
      <c r="G295" s="14">
        <f ca="1"/>
        <v>-0.47857329113096619</v>
      </c>
    </row>
    <row r="296" spans="4:20" ht="24" customHeight="1" x14ac:dyDescent="0.3">
      <c r="E296" s="12">
        <f ca="1"/>
        <v>-0.14292889288064947</v>
      </c>
      <c r="F296" s="13">
        <f ca="1"/>
        <v>0.53880779132596213</v>
      </c>
      <c r="G296" s="14">
        <f ca="1"/>
        <v>0.31363665643340066</v>
      </c>
    </row>
    <row r="297" spans="4:20" ht="24" customHeight="1" x14ac:dyDescent="0.3">
      <c r="E297" s="15">
        <f ca="1"/>
        <v>0.25503270321184274</v>
      </c>
      <c r="F297" s="16">
        <f ca="1"/>
        <v>-0.1086671514483742</v>
      </c>
      <c r="G297" s="17">
        <f ca="1"/>
        <v>0.3006782816798787</v>
      </c>
    </row>
    <row r="299" spans="4:20" ht="24" customHeight="1" x14ac:dyDescent="0.3">
      <c r="D299" s="7" t="s">
        <v>99</v>
      </c>
      <c r="E299" s="9" cm="1">
        <f t="array" aca="1" ref="E299:F304" ca="1">TRANSPOSE(_xlfn.ANCHORARRAY(O279))</f>
        <v>-1.0676034020884535</v>
      </c>
      <c r="F299" s="10">
        <f ca="1"/>
        <v>-1.5084645688227152</v>
      </c>
      <c r="G299" s="11"/>
    </row>
    <row r="300" spans="4:20" ht="24" customHeight="1" x14ac:dyDescent="0.3">
      <c r="E300" s="12">
        <f ca="1"/>
        <v>-0.19535226148071749</v>
      </c>
      <c r="F300" s="13">
        <f ca="1"/>
        <v>-0.46095624998400242</v>
      </c>
      <c r="G300" s="14"/>
    </row>
    <row r="301" spans="4:20" ht="24" customHeight="1" x14ac:dyDescent="0.3">
      <c r="E301" s="12">
        <f ca="1"/>
        <v>-1.6196043631623167</v>
      </c>
      <c r="F301" s="13">
        <f ca="1"/>
        <v>1.1774206497018154</v>
      </c>
      <c r="G301" s="14"/>
    </row>
    <row r="302" spans="4:20" ht="24" customHeight="1" x14ac:dyDescent="0.3">
      <c r="E302" s="12">
        <f ca="1"/>
        <v>1.5867501170157388</v>
      </c>
      <c r="F302" s="13">
        <f ca="1"/>
        <v>0.14902883566261854</v>
      </c>
      <c r="G302" s="14"/>
    </row>
    <row r="303" spans="4:20" ht="24" customHeight="1" x14ac:dyDescent="0.3">
      <c r="E303" s="12">
        <f ca="1"/>
        <v>2.2346537775847533</v>
      </c>
      <c r="F303" s="13">
        <f ca="1"/>
        <v>0.12666989788231076</v>
      </c>
      <c r="G303" s="14"/>
    </row>
    <row r="304" spans="4:20" ht="24" customHeight="1" x14ac:dyDescent="0.3">
      <c r="E304" s="15">
        <f ca="1"/>
        <v>0.98584837889874011</v>
      </c>
      <c r="F304" s="16">
        <f ca="1"/>
        <v>0.70336871466643247</v>
      </c>
      <c r="G304" s="17"/>
    </row>
    <row r="306" spans="4:20" ht="24" customHeight="1" x14ac:dyDescent="0.3">
      <c r="D306" s="7" t="s">
        <v>100</v>
      </c>
      <c r="E306" s="9" cm="1">
        <f t="array" aca="1" ref="E306:F311" ca="1">TRANSPOSE(_xlfn.ANCHORARRAY(AG279))</f>
        <v>-1.0944986259753464</v>
      </c>
      <c r="F306" s="10">
        <f ca="1"/>
        <v>2.1025725947044749</v>
      </c>
      <c r="G306" s="11"/>
    </row>
    <row r="307" spans="4:20" ht="24" customHeight="1" x14ac:dyDescent="0.3">
      <c r="E307" s="12">
        <f ca="1"/>
        <v>1.3700073325098503</v>
      </c>
      <c r="F307" s="13">
        <f ca="1"/>
        <v>1.9977768514015641</v>
      </c>
      <c r="G307" s="14"/>
    </row>
    <row r="308" spans="4:20" ht="24" customHeight="1" x14ac:dyDescent="0.3">
      <c r="E308" s="12">
        <f ca="1"/>
        <v>-9.1384549869821349E-2</v>
      </c>
      <c r="F308" s="13">
        <f ca="1"/>
        <v>-0.95744418946684651</v>
      </c>
      <c r="G308" s="14"/>
    </row>
    <row r="309" spans="4:20" ht="24" customHeight="1" x14ac:dyDescent="0.3">
      <c r="E309" s="12">
        <f ca="1"/>
        <v>-0.63477078653763241</v>
      </c>
      <c r="F309" s="13">
        <f ca="1"/>
        <v>-0.92435093004927027</v>
      </c>
      <c r="G309" s="14"/>
    </row>
    <row r="310" spans="4:20" ht="24" customHeight="1" x14ac:dyDescent="0.3">
      <c r="E310" s="12">
        <f ca="1"/>
        <v>0.63904877232140844</v>
      </c>
      <c r="F310" s="13">
        <f ca="1"/>
        <v>-0.44669403637746841</v>
      </c>
      <c r="G310" s="14"/>
    </row>
    <row r="311" spans="4:20" ht="24" customHeight="1" x14ac:dyDescent="0.3">
      <c r="E311" s="15">
        <f ca="1"/>
        <v>-0.11466306607966113</v>
      </c>
      <c r="F311" s="16">
        <f ca="1"/>
        <v>0.13388264518425563</v>
      </c>
      <c r="G311" s="17"/>
    </row>
    <row r="313" spans="4:20" ht="24" customHeight="1" x14ac:dyDescent="0.3">
      <c r="D313" s="7" t="s">
        <v>101</v>
      </c>
      <c r="O313" s="9" cm="1">
        <f t="array" aca="1" ref="O313:T318" ca="1">MMULT(_xlfn.ANCHORARRAY(E292),_xlfn.ANCHORARRAY(O271))</f>
        <v>-3.4853095527671138</v>
      </c>
      <c r="P313" s="10">
        <f ca="1"/>
        <v>-2.3564784735036648E-2</v>
      </c>
      <c r="Q313" s="10">
        <f ca="1"/>
        <v>3.9423823343485962</v>
      </c>
      <c r="R313" s="10">
        <f ca="1"/>
        <v>-0.38068372853794108</v>
      </c>
      <c r="S313" s="10">
        <f ca="1"/>
        <v>-2.3034488859700577</v>
      </c>
      <c r="T313" s="11">
        <f ca="1"/>
        <v>2.1682126868706924</v>
      </c>
    </row>
    <row r="314" spans="4:20" ht="24" customHeight="1" x14ac:dyDescent="0.3">
      <c r="O314" s="12">
        <f ca="1"/>
        <v>-0.44156536250253087</v>
      </c>
      <c r="P314" s="13">
        <f ca="1"/>
        <v>2.4766201840847275</v>
      </c>
      <c r="Q314" s="13">
        <f ca="1"/>
        <v>-1.8650194507271007</v>
      </c>
      <c r="R314" s="13">
        <f ca="1"/>
        <v>1.4689284270115637</v>
      </c>
      <c r="S314" s="13">
        <f ca="1"/>
        <v>-1.5800881897836931</v>
      </c>
      <c r="T314" s="14">
        <f ca="1"/>
        <v>2.4736205800703868</v>
      </c>
    </row>
    <row r="315" spans="4:20" ht="24" customHeight="1" x14ac:dyDescent="0.3">
      <c r="O315" s="12">
        <f ca="1"/>
        <v>0.36370095372443195</v>
      </c>
      <c r="P315" s="13">
        <f ca="1"/>
        <v>0.42582182472671387</v>
      </c>
      <c r="Q315" s="13">
        <f ca="1"/>
        <v>-1.5581824532524382</v>
      </c>
      <c r="R315" s="13">
        <f ca="1"/>
        <v>1.4508437595539743</v>
      </c>
      <c r="S315" s="13">
        <f ca="1"/>
        <v>-0.49806482953803483</v>
      </c>
      <c r="T315" s="14">
        <f ca="1"/>
        <v>0.91238074139786585</v>
      </c>
    </row>
    <row r="316" spans="4:20" ht="24" customHeight="1" x14ac:dyDescent="0.3">
      <c r="O316" s="12">
        <f ca="1"/>
        <v>0.15711677635168808</v>
      </c>
      <c r="P316" s="13">
        <f ca="1"/>
        <v>-1.7316882273780507</v>
      </c>
      <c r="Q316" s="13">
        <f ca="1"/>
        <v>1.8347563936338731</v>
      </c>
      <c r="R316" s="13">
        <f ca="1"/>
        <v>-1.6014435153218056</v>
      </c>
      <c r="S316" s="13">
        <f ca="1"/>
        <v>1.2553810486788923</v>
      </c>
      <c r="T316" s="14">
        <f ca="1"/>
        <v>-2.0042735320485705</v>
      </c>
    </row>
    <row r="317" spans="4:20" ht="24" customHeight="1" x14ac:dyDescent="0.3">
      <c r="O317" s="12">
        <f ca="1"/>
        <v>-0.95292354566871462</v>
      </c>
      <c r="P317" s="13">
        <f ca="1"/>
        <v>-0.92705140048815382</v>
      </c>
      <c r="Q317" s="13">
        <f ca="1"/>
        <v>1.9502574558889805</v>
      </c>
      <c r="R317" s="13">
        <f ca="1"/>
        <v>-0.65882634727909617</v>
      </c>
      <c r="S317" s="13">
        <f ca="1"/>
        <v>-0.15533685981633316</v>
      </c>
      <c r="T317" s="14">
        <f ca="1"/>
        <v>-0.21793006162543266</v>
      </c>
    </row>
    <row r="318" spans="4:20" ht="24" customHeight="1" x14ac:dyDescent="0.3">
      <c r="O318" s="15">
        <f ca="1"/>
        <v>-0.73569674721676581</v>
      </c>
      <c r="P318" s="16">
        <f ca="1"/>
        <v>-0.87514823053750257</v>
      </c>
      <c r="Q318" s="16">
        <f ca="1"/>
        <v>1.0704142176757372</v>
      </c>
      <c r="R318" s="16">
        <f ca="1"/>
        <v>0.30436167042587531</v>
      </c>
      <c r="S318" s="16">
        <f ca="1"/>
        <v>-0.44688026767278322</v>
      </c>
      <c r="T318" s="17">
        <f ca="1"/>
        <v>0.29356485992481118</v>
      </c>
    </row>
    <row r="320" spans="4:20" ht="24" customHeight="1" x14ac:dyDescent="0.3">
      <c r="D320" s="7" t="s">
        <v>102</v>
      </c>
      <c r="O320" s="9" cm="1">
        <f t="array" aca="1" ref="O320:T325" ca="1">MMULT(_xlfn.ANCHORARRAY(E306),_xlfn.ANCHORARRAY(O279))</f>
        <v>-2.0031658058169253</v>
      </c>
      <c r="P320" s="10">
        <f ca="1"/>
        <v>-0.75538119680228655</v>
      </c>
      <c r="Q320" s="10">
        <f ca="1"/>
        <v>4.2482671406070063</v>
      </c>
      <c r="R320" s="10">
        <f ca="1"/>
        <v>-1.4233518771550075</v>
      </c>
      <c r="S320" s="10">
        <f ca="1"/>
        <v>-2.1794928332357686</v>
      </c>
      <c r="T320" s="11">
        <f ca="1"/>
        <v>0.39987408730545848</v>
      </c>
    </row>
    <row r="321" spans="4:20" ht="24" customHeight="1" x14ac:dyDescent="0.3">
      <c r="O321" s="12">
        <f ca="1"/>
        <v>-4.4762000858271058</v>
      </c>
      <c r="P321" s="13">
        <f ca="1"/>
        <v>-1.1885217563778772</v>
      </c>
      <c r="Q321" s="13">
        <f ca="1"/>
        <v>0.13335386503915636</v>
      </c>
      <c r="R321" s="13">
        <f ca="1"/>
        <v>2.471585653250532</v>
      </c>
      <c r="S321" s="13">
        <f ca="1"/>
        <v>3.3145502506706288</v>
      </c>
      <c r="T321" s="14">
        <f ca="1"/>
        <v>2.7557932439948938</v>
      </c>
    </row>
    <row r="322" spans="4:20" ht="24" customHeight="1" x14ac:dyDescent="0.3">
      <c r="O322" s="12">
        <f ca="1"/>
        <v>1.5418330927752637</v>
      </c>
      <c r="P322" s="13">
        <f ca="1"/>
        <v>0.45919206162707732</v>
      </c>
      <c r="Q322" s="13">
        <f ca="1"/>
        <v>-0.97930774392049547</v>
      </c>
      <c r="R322" s="13">
        <f ca="1"/>
        <v>-0.28769123796755336</v>
      </c>
      <c r="S322" s="13">
        <f ca="1"/>
        <v>-0.32549218728725582</v>
      </c>
      <c r="T322" s="14">
        <f ca="1"/>
        <v>-0.76352759925569447</v>
      </c>
    </row>
    <row r="323" spans="4:20" ht="24" customHeight="1" x14ac:dyDescent="0.3">
      <c r="O323" s="12">
        <f ca="1"/>
        <v>2.0720340783915883</v>
      </c>
      <c r="P323" s="13">
        <f ca="1"/>
        <v>0.55008924705675688</v>
      </c>
      <c r="Q323" s="13">
        <f ca="1"/>
        <v>-6.0272337126764164E-2</v>
      </c>
      <c r="R323" s="13">
        <f ca="1"/>
        <v>-1.1449775626656622</v>
      </c>
      <c r="S323" s="13">
        <f ca="1"/>
        <v>-1.5355803739535254</v>
      </c>
      <c r="T323" s="14">
        <f ca="1"/>
        <v>-1.2759472764498798</v>
      </c>
    </row>
    <row r="324" spans="4:20" ht="24" customHeight="1" x14ac:dyDescent="0.3">
      <c r="O324" s="12">
        <f ca="1"/>
        <v>-8.4285164509690924E-3</v>
      </c>
      <c r="P324" s="13">
        <f ca="1"/>
        <v>8.1066785029312124E-2</v>
      </c>
      <c r="Q324" s="13">
        <f ca="1"/>
        <v>-1.5609529624547602</v>
      </c>
      <c r="R324" s="13">
        <f ca="1"/>
        <v>0.94744042212098944</v>
      </c>
      <c r="S324" s="13">
        <f ca="1"/>
        <v>1.3714700651563632</v>
      </c>
      <c r="T324" s="14">
        <f ca="1"/>
        <v>0.31581458601431001</v>
      </c>
    </row>
    <row r="325" spans="4:20" ht="24" customHeight="1" x14ac:dyDescent="0.3">
      <c r="O325" s="15">
        <f ca="1"/>
        <v>-7.9542547200173369E-2</v>
      </c>
      <c r="P325" s="16">
        <f ca="1"/>
        <v>-3.9314352795098484E-2</v>
      </c>
      <c r="Q325" s="16">
        <f ca="1"/>
        <v>0.34334499319283207</v>
      </c>
      <c r="R325" s="16">
        <f ca="1"/>
        <v>-0.16198925879204459</v>
      </c>
      <c r="S325" s="16">
        <f ca="1"/>
        <v>-0.23927335277066161</v>
      </c>
      <c r="T325" s="17">
        <f ca="1"/>
        <v>-1.8871533754801134E-2</v>
      </c>
    </row>
    <row r="327" spans="4:20" ht="24" customHeight="1" x14ac:dyDescent="0.3">
      <c r="D327" s="7" t="s">
        <v>103</v>
      </c>
      <c r="O327" s="9" cm="1">
        <f t="array" aca="1" ref="O327:T332" ca="1">_xlfn.ANCHORARRAY(O313)+_xlfn.ANCHORARRAY(O320)</f>
        <v>-5.4884753585840391</v>
      </c>
      <c r="P327" s="10">
        <f ca="1"/>
        <v>-0.7789459815373232</v>
      </c>
      <c r="Q327" s="10">
        <f ca="1"/>
        <v>8.1906494749556025</v>
      </c>
      <c r="R327" s="10">
        <f ca="1"/>
        <v>-1.8040356056929485</v>
      </c>
      <c r="S327" s="10">
        <f ca="1"/>
        <v>-4.4829417192058258</v>
      </c>
      <c r="T327" s="11">
        <f ca="1"/>
        <v>2.5680867741761508</v>
      </c>
    </row>
    <row r="328" spans="4:20" ht="24" customHeight="1" x14ac:dyDescent="0.3">
      <c r="O328" s="12">
        <f ca="1"/>
        <v>-4.9177654483296367</v>
      </c>
      <c r="P328" s="13">
        <f ca="1"/>
        <v>1.2880984277068503</v>
      </c>
      <c r="Q328" s="13">
        <f ca="1"/>
        <v>-1.7316655856879444</v>
      </c>
      <c r="R328" s="13">
        <f ca="1"/>
        <v>3.9405140802620959</v>
      </c>
      <c r="S328" s="13">
        <f ca="1"/>
        <v>1.7344620608869357</v>
      </c>
      <c r="T328" s="14">
        <f ca="1"/>
        <v>5.229413824065281</v>
      </c>
    </row>
    <row r="329" spans="4:20" ht="24" customHeight="1" x14ac:dyDescent="0.3">
      <c r="O329" s="12">
        <f ca="1"/>
        <v>1.9055340464996957</v>
      </c>
      <c r="P329" s="13">
        <f ca="1"/>
        <v>0.88501388635379119</v>
      </c>
      <c r="Q329" s="13">
        <f ca="1"/>
        <v>-2.5374901971729336</v>
      </c>
      <c r="R329" s="13">
        <f ca="1"/>
        <v>1.1631525215864209</v>
      </c>
      <c r="S329" s="13">
        <f ca="1"/>
        <v>-0.82355701682529059</v>
      </c>
      <c r="T329" s="14">
        <f ca="1"/>
        <v>0.14885314214217138</v>
      </c>
    </row>
    <row r="330" spans="4:20" ht="24" customHeight="1" x14ac:dyDescent="0.3">
      <c r="O330" s="12">
        <f ca="1"/>
        <v>2.2291508547432763</v>
      </c>
      <c r="P330" s="13">
        <f ca="1"/>
        <v>-1.1815989803212938</v>
      </c>
      <c r="Q330" s="13">
        <f ca="1"/>
        <v>1.7744840565071089</v>
      </c>
      <c r="R330" s="13">
        <f ca="1"/>
        <v>-2.7464210779874678</v>
      </c>
      <c r="S330" s="13">
        <f ca="1"/>
        <v>-0.28019932527463309</v>
      </c>
      <c r="T330" s="14">
        <f ca="1"/>
        <v>-3.2802208084984503</v>
      </c>
    </row>
    <row r="331" spans="4:20" ht="24" customHeight="1" x14ac:dyDescent="0.3">
      <c r="O331" s="12">
        <f ca="1"/>
        <v>-0.96135206211968371</v>
      </c>
      <c r="P331" s="13">
        <f ca="1"/>
        <v>-0.84598461545884174</v>
      </c>
      <c r="Q331" s="13">
        <f ca="1"/>
        <v>0.38930449343422024</v>
      </c>
      <c r="R331" s="13">
        <f ca="1"/>
        <v>0.28861407484189328</v>
      </c>
      <c r="S331" s="13">
        <f ca="1"/>
        <v>1.21613320534003</v>
      </c>
      <c r="T331" s="14">
        <f ca="1"/>
        <v>9.7884524388877348E-2</v>
      </c>
    </row>
    <row r="332" spans="4:20" ht="24" customHeight="1" x14ac:dyDescent="0.3">
      <c r="O332" s="15">
        <f ca="1"/>
        <v>-0.81523929441693921</v>
      </c>
      <c r="P332" s="16">
        <f ca="1"/>
        <v>-0.914462583332601</v>
      </c>
      <c r="Q332" s="16">
        <f ca="1"/>
        <v>1.4137592108685693</v>
      </c>
      <c r="R332" s="16">
        <f ca="1"/>
        <v>0.14237241163383071</v>
      </c>
      <c r="S332" s="16">
        <f ca="1"/>
        <v>-0.68615362044344486</v>
      </c>
      <c r="T332" s="17">
        <f ca="1"/>
        <v>0.27469332617001008</v>
      </c>
    </row>
    <row r="334" spans="4:20" ht="24" customHeight="1" x14ac:dyDescent="0.3">
      <c r="D334" s="1" t="s">
        <v>104</v>
      </c>
    </row>
    <row r="335" spans="4:20" ht="24" customHeight="1" x14ac:dyDescent="0.3">
      <c r="D335" s="1" t="s">
        <v>105</v>
      </c>
    </row>
    <row r="340" spans="1:131" ht="48" customHeight="1" thickBot="1" x14ac:dyDescent="0.95">
      <c r="A340" s="5" t="s">
        <v>106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  <c r="DK340" s="6"/>
      <c r="DL340" s="6"/>
      <c r="DM340" s="6"/>
      <c r="DN340" s="6"/>
      <c r="DO340" s="6"/>
      <c r="DP340" s="6"/>
      <c r="DQ340" s="6"/>
      <c r="DR340" s="6"/>
      <c r="DS340" s="6"/>
      <c r="DT340" s="6"/>
      <c r="DU340" s="6"/>
      <c r="DV340" s="6"/>
      <c r="DW340" s="6"/>
      <c r="DX340" s="6"/>
      <c r="DY340" s="6"/>
      <c r="DZ340" s="6"/>
      <c r="EA340" s="6"/>
    </row>
    <row r="341" spans="1:131" ht="24" customHeight="1" thickTop="1" x14ac:dyDescent="0.3"/>
    <row r="343" spans="1:131" ht="24" customHeight="1" x14ac:dyDescent="0.3">
      <c r="E343" s="7" t="s">
        <v>4</v>
      </c>
      <c r="F343" s="8">
        <v>6</v>
      </c>
      <c r="N343" s="7" t="s">
        <v>8</v>
      </c>
      <c r="O343" s="8" cm="1">
        <f t="array" ref="O343:T343">_xlfn.SEQUENCE(1,F343,1)</f>
        <v>1</v>
      </c>
      <c r="P343" s="8">
        <v>2</v>
      </c>
      <c r="Q343" s="8">
        <v>3</v>
      </c>
      <c r="R343" s="8">
        <v>4</v>
      </c>
      <c r="S343" s="8">
        <v>5</v>
      </c>
      <c r="T343" s="8">
        <v>6</v>
      </c>
    </row>
    <row r="344" spans="1:131" ht="24" customHeight="1" x14ac:dyDescent="0.3">
      <c r="E344" s="7" t="s">
        <v>5</v>
      </c>
      <c r="F344" s="8">
        <v>8</v>
      </c>
    </row>
    <row r="345" spans="1:131" ht="24" customHeight="1" x14ac:dyDescent="0.3">
      <c r="E345" s="7" t="s">
        <v>74</v>
      </c>
      <c r="F345" s="8">
        <v>4</v>
      </c>
      <c r="O345" s="8" t="str" cm="1">
        <f t="array" ref="O345:T345">"x"&amp;_xlfn.ANCHORARRAY(O343)</f>
        <v>x1</v>
      </c>
      <c r="P345" s="8" t="str">
        <v>x2</v>
      </c>
      <c r="Q345" s="8" t="str">
        <v>x3</v>
      </c>
      <c r="R345" s="8" t="str">
        <v>x4</v>
      </c>
      <c r="S345" s="8" t="str">
        <v>x5</v>
      </c>
      <c r="T345" s="8" t="str">
        <v>x6</v>
      </c>
    </row>
    <row r="346" spans="1:131" ht="24" customHeight="1" x14ac:dyDescent="0.3">
      <c r="E346" s="7" t="s">
        <v>46</v>
      </c>
      <c r="F346" s="8">
        <v>3</v>
      </c>
      <c r="N346" s="7" t="s">
        <v>9</v>
      </c>
      <c r="O346" s="9" cm="1">
        <f t="array" aca="1" ref="O346:T353" ca="1">(_xlfn.RANDARRAY(F344,F343)-0.5)*2</f>
        <v>-2.0893632423553132E-2</v>
      </c>
      <c r="P346" s="10">
        <f ca="1"/>
        <v>3.3954912438884488E-2</v>
      </c>
      <c r="Q346" s="10">
        <f ca="1"/>
        <v>-0.26929374893768365</v>
      </c>
      <c r="R346" s="10">
        <f ca="1"/>
        <v>-0.83710845887274932</v>
      </c>
      <c r="S346" s="10">
        <f ca="1"/>
        <v>-0.71103949441493119</v>
      </c>
      <c r="T346" s="11">
        <f ca="1"/>
        <v>-0.3776522667149167</v>
      </c>
    </row>
    <row r="347" spans="1:131" ht="24" customHeight="1" x14ac:dyDescent="0.3">
      <c r="E347" s="7" t="s">
        <v>47</v>
      </c>
      <c r="F347" s="8">
        <v>2</v>
      </c>
      <c r="O347" s="12">
        <f ca="1"/>
        <v>0.11435532381341895</v>
      </c>
      <c r="P347" s="13">
        <f ca="1"/>
        <v>0.70621896373821835</v>
      </c>
      <c r="Q347" s="13">
        <f ca="1"/>
        <v>0.73773171318057607</v>
      </c>
      <c r="R347" s="13">
        <f ca="1"/>
        <v>0.12642259931201849</v>
      </c>
      <c r="S347" s="13">
        <f ca="1"/>
        <v>-0.35410898581508121</v>
      </c>
      <c r="T347" s="14">
        <f ca="1"/>
        <v>0.44507054742009</v>
      </c>
    </row>
    <row r="348" spans="1:131" ht="24" customHeight="1" x14ac:dyDescent="0.3">
      <c r="E348" s="7" t="s">
        <v>75</v>
      </c>
      <c r="F348" s="8">
        <v>3</v>
      </c>
      <c r="O348" s="12">
        <f ca="1"/>
        <v>-0.27391975285097692</v>
      </c>
      <c r="P348" s="13">
        <f ca="1"/>
        <v>-0.93603618321653048</v>
      </c>
      <c r="Q348" s="13">
        <f ca="1"/>
        <v>-0.28868752718324053</v>
      </c>
      <c r="R348" s="13">
        <f ca="1"/>
        <v>-9.502497188970338E-3</v>
      </c>
      <c r="S348" s="13">
        <f ca="1"/>
        <v>0.70531035069854697</v>
      </c>
      <c r="T348" s="14">
        <f ca="1"/>
        <v>0.98943927034381796</v>
      </c>
    </row>
    <row r="349" spans="1:131" ht="24" customHeight="1" x14ac:dyDescent="0.3">
      <c r="E349" s="7" t="s">
        <v>76</v>
      </c>
      <c r="F349" s="8">
        <v>2</v>
      </c>
      <c r="O349" s="12">
        <f ca="1"/>
        <v>-0.75023009742163449</v>
      </c>
      <c r="P349" s="13">
        <f ca="1"/>
        <v>-0.77281951018959028</v>
      </c>
      <c r="Q349" s="13">
        <f ca="1"/>
        <v>-0.25174847880761408</v>
      </c>
      <c r="R349" s="13">
        <f ca="1"/>
        <v>-7.1500464505430905E-2</v>
      </c>
      <c r="S349" s="13">
        <f ca="1"/>
        <v>-0.37117140428440987</v>
      </c>
      <c r="T349" s="14">
        <f ca="1"/>
        <v>9.4272912844620915E-2</v>
      </c>
    </row>
    <row r="350" spans="1:131" ht="24" customHeight="1" x14ac:dyDescent="0.3">
      <c r="E350" s="7" t="s">
        <v>107</v>
      </c>
      <c r="F350" s="8">
        <v>3</v>
      </c>
      <c r="O350" s="12">
        <f ca="1"/>
        <v>-9.2068618175961792E-2</v>
      </c>
      <c r="P350" s="13">
        <f ca="1"/>
        <v>0.65317641124020165</v>
      </c>
      <c r="Q350" s="13">
        <f ca="1"/>
        <v>-0.54163233270165989</v>
      </c>
      <c r="R350" s="13">
        <f ca="1"/>
        <v>0.61074633719184268</v>
      </c>
      <c r="S350" s="13">
        <f ca="1"/>
        <v>0.25028134084871612</v>
      </c>
      <c r="T350" s="14">
        <f ca="1"/>
        <v>0.83816526050837714</v>
      </c>
    </row>
    <row r="351" spans="1:131" ht="24" customHeight="1" x14ac:dyDescent="0.3">
      <c r="O351" s="12">
        <f ca="1"/>
        <v>-0.68333804196161152</v>
      </c>
      <c r="P351" s="13">
        <f ca="1"/>
        <v>-6.4110520636933455E-2</v>
      </c>
      <c r="Q351" s="13">
        <f ca="1"/>
        <v>-8.1486297477474157E-2</v>
      </c>
      <c r="R351" s="13">
        <f ca="1"/>
        <v>-0.75975533296074449</v>
      </c>
      <c r="S351" s="13">
        <f ca="1"/>
        <v>-0.28602904142942087</v>
      </c>
      <c r="T351" s="14">
        <f ca="1"/>
        <v>0.34190295430134565</v>
      </c>
    </row>
    <row r="352" spans="1:131" ht="24" customHeight="1" x14ac:dyDescent="0.3">
      <c r="O352" s="12">
        <f ca="1"/>
        <v>-0.11345274457286925</v>
      </c>
      <c r="P352" s="13">
        <f ca="1"/>
        <v>0.54381744870068882</v>
      </c>
      <c r="Q352" s="13">
        <f ca="1"/>
        <v>-0.41128665948616039</v>
      </c>
      <c r="R352" s="13">
        <f ca="1"/>
        <v>-0.14171255916136438</v>
      </c>
      <c r="S352" s="13">
        <f ca="1"/>
        <v>-0.46317701197423533</v>
      </c>
      <c r="T352" s="14">
        <f ca="1"/>
        <v>0.25684666516711641</v>
      </c>
    </row>
    <row r="353" spans="4:38" ht="24" customHeight="1" x14ac:dyDescent="0.3">
      <c r="O353" s="15">
        <f ca="1"/>
        <v>-6.0746627316214497E-2</v>
      </c>
      <c r="P353" s="16">
        <f ca="1"/>
        <v>0.19422036760377281</v>
      </c>
      <c r="Q353" s="16">
        <f ca="1"/>
        <v>-0.59020383433233858</v>
      </c>
      <c r="R353" s="16">
        <f ca="1"/>
        <v>0.82363441635704415</v>
      </c>
      <c r="S353" s="16">
        <f ca="1"/>
        <v>0.53270145357843157</v>
      </c>
      <c r="T353" s="17">
        <f ca="1"/>
        <v>0.85791630275250341</v>
      </c>
    </row>
    <row r="355" spans="4:38" ht="24" customHeight="1" x14ac:dyDescent="0.3">
      <c r="D355" s="3" t="s">
        <v>108</v>
      </c>
    </row>
    <row r="356" spans="4:38" ht="24" customHeight="1" x14ac:dyDescent="0.3">
      <c r="D356" s="7" t="s">
        <v>78</v>
      </c>
      <c r="E356" s="18" cm="1">
        <f t="array" aca="1" ref="E356:L359" ca="1">(_xlfn.RANDARRAY(F345,F344)-0.5)*2</f>
        <v>0.89676099246076868</v>
      </c>
      <c r="F356" s="18">
        <f ca="1"/>
        <v>-0.64895047893936963</v>
      </c>
      <c r="G356" s="18">
        <f ca="1"/>
        <v>-0.22632049072571947</v>
      </c>
      <c r="H356" s="18">
        <f ca="1"/>
        <v>-0.99777479677718173</v>
      </c>
      <c r="I356" s="18">
        <f ca="1"/>
        <v>0.18430291774438379</v>
      </c>
      <c r="J356" s="18">
        <f ca="1"/>
        <v>-0.54568899852390818</v>
      </c>
      <c r="K356" s="18">
        <f ca="1"/>
        <v>-0.81030808680762778</v>
      </c>
      <c r="L356" s="18">
        <f ca="1"/>
        <v>-4.4135895222016774E-2</v>
      </c>
      <c r="N356" s="7" t="s">
        <v>79</v>
      </c>
      <c r="O356" s="9" cm="1">
        <f t="array" aca="1" ref="O356:T359" ca="1">MMULT(_xlfn.ANCHORARRAY(E356),_xlfn.ANCHORARRAY(O346))</f>
        <v>1.1681411191544888</v>
      </c>
      <c r="P356" s="10">
        <f ca="1"/>
        <v>0.26122726224187176</v>
      </c>
      <c r="Q356" s="10">
        <f ca="1"/>
        <v>-9.9759450486650719E-2</v>
      </c>
      <c r="R356" s="10">
        <f ca="1"/>
        <v>-0.15360479837824245</v>
      </c>
      <c r="S356" s="10">
        <f ca="1"/>
        <v>0.35690130647458002</v>
      </c>
      <c r="T356" s="11">
        <f ca="1"/>
        <v>-1.2235722956404691</v>
      </c>
    </row>
    <row r="357" spans="4:38" ht="24" customHeight="1" x14ac:dyDescent="0.3">
      <c r="E357" s="18">
        <f ca="1"/>
        <v>-0.6242295691591857</v>
      </c>
      <c r="F357" s="18">
        <f ca="1"/>
        <v>-0.49698707169162404</v>
      </c>
      <c r="G357" s="18">
        <f ca="1"/>
        <v>-0.26512022386944301</v>
      </c>
      <c r="H357" s="18">
        <f ca="1"/>
        <v>-0.58979470241898779</v>
      </c>
      <c r="I357" s="18">
        <f ca="1"/>
        <v>0.5332945170758574</v>
      </c>
      <c r="J357" s="18">
        <f ca="1"/>
        <v>0.88365494303718961</v>
      </c>
      <c r="K357" s="18">
        <f ca="1"/>
        <v>0.4682371830158738</v>
      </c>
      <c r="L357" s="18">
        <f ca="1"/>
        <v>-0.60056816943027336</v>
      </c>
      <c r="O357" s="12">
        <f ca="1"/>
        <v>-0.19826232166636026</v>
      </c>
      <c r="P357" s="13">
        <f ca="1"/>
        <v>0.76146642030899803</v>
      </c>
      <c r="Q357" s="13">
        <f ca="1"/>
        <v>-0.1725025753037997</v>
      </c>
      <c r="R357" s="13">
        <f ca="1"/>
        <v>-0.40225023117028313</v>
      </c>
      <c r="S357" s="13">
        <f ca="1"/>
        <v>-4.3151906277996699E-3</v>
      </c>
      <c r="T357" s="14">
        <f ca="1"/>
        <v>5.0766487185198383E-2</v>
      </c>
    </row>
    <row r="358" spans="4:38" ht="24" customHeight="1" x14ac:dyDescent="0.3">
      <c r="E358" s="18">
        <f ca="1"/>
        <v>0.51947549665471193</v>
      </c>
      <c r="F358" s="18">
        <f ca="1"/>
        <v>-0.63947839665011186</v>
      </c>
      <c r="G358" s="18">
        <f ca="1"/>
        <v>0.99746309154517965</v>
      </c>
      <c r="H358" s="18">
        <f ca="1"/>
        <v>0.17746681951039056</v>
      </c>
      <c r="I358" s="18">
        <f ca="1"/>
        <v>-0.88536189385032049</v>
      </c>
      <c r="J358" s="18">
        <f ca="1"/>
        <v>-0.96227476087748176</v>
      </c>
      <c r="K358" s="18">
        <f ca="1"/>
        <v>0.75171015999598056</v>
      </c>
      <c r="L358" s="18">
        <f ca="1"/>
        <v>-0.17836029224399974</v>
      </c>
      <c r="O358" s="12">
        <f ca="1"/>
        <v>0.17427692050047994</v>
      </c>
      <c r="P358" s="13">
        <f ca="1"/>
        <v>-1.6472380599628875</v>
      </c>
      <c r="Q358" s="13">
        <f ca="1"/>
        <v>-0.59023374924363459</v>
      </c>
      <c r="R358" s="13">
        <f ca="1"/>
        <v>-0.60093780192038704</v>
      </c>
      <c r="S358" s="13">
        <f ca="1"/>
        <v>0.10518919908077096</v>
      </c>
      <c r="T358" s="14">
        <f ca="1"/>
        <v>-0.50816275208252648</v>
      </c>
    </row>
    <row r="359" spans="4:38" ht="24" customHeight="1" x14ac:dyDescent="0.3">
      <c r="E359" s="18">
        <f ca="1"/>
        <v>0.37640656743464795</v>
      </c>
      <c r="F359" s="18">
        <f ca="1"/>
        <v>0.72844831297879775</v>
      </c>
      <c r="G359" s="18">
        <f ca="1"/>
        <v>0.79744580784291452</v>
      </c>
      <c r="H359" s="18">
        <f ca="1"/>
        <v>-0.85164849257882214</v>
      </c>
      <c r="I359" s="18">
        <f ca="1"/>
        <v>-0.43963138415913106</v>
      </c>
      <c r="J359" s="18">
        <f ca="1"/>
        <v>-0.69225721425768505</v>
      </c>
      <c r="K359" s="18">
        <f ca="1"/>
        <v>-0.72955952917923073</v>
      </c>
      <c r="L359" s="18">
        <f ca="1"/>
        <v>0.28931166981317968</v>
      </c>
      <c r="O359" s="15">
        <f ca="1"/>
        <v>1.0746513813115215</v>
      </c>
      <c r="P359" s="16">
        <f ca="1"/>
        <v>-0.1443755569626701</v>
      </c>
      <c r="Q359" s="16">
        <f ca="1"/>
        <v>0.84405733461930166</v>
      </c>
      <c r="R359" s="16">
        <f ca="1"/>
        <v>0.42943239285925172</v>
      </c>
      <c r="S359" s="16">
        <f ca="1"/>
        <v>0.93297040554858623</v>
      </c>
      <c r="T359" s="17">
        <f ca="1"/>
        <v>0.34644863583851282</v>
      </c>
    </row>
    <row r="361" spans="4:38" ht="24" customHeight="1" x14ac:dyDescent="0.3">
      <c r="D361" s="7" t="s">
        <v>80</v>
      </c>
      <c r="E361" s="18" cm="1">
        <f t="array" aca="1" ref="E361:H363" ca="1">(_xlfn.RANDARRAY(F348,F345)-0.5)*2</f>
        <v>-0.88691827664471035</v>
      </c>
      <c r="F361" s="18">
        <f ca="1"/>
        <v>9.4403539376221701E-2</v>
      </c>
      <c r="G361" s="18">
        <f ca="1"/>
        <v>-0.45544977990493019</v>
      </c>
      <c r="H361" s="18">
        <f ca="1"/>
        <v>-0.3935588362205813</v>
      </c>
      <c r="N361" s="7" t="s">
        <v>81</v>
      </c>
      <c r="O361" s="9" cm="1">
        <f t="array" aca="1" ref="O361:T363" ca="1">MMULT(_xlfn.ANCHORARRAY(E361),_xlfn.ANCHORARRAY(O356))</f>
        <v>-1.5570753052248292</v>
      </c>
      <c r="P361" s="10">
        <f ca="1"/>
        <v>0.64725237999118235</v>
      </c>
      <c r="Q361" s="10">
        <f ca="1"/>
        <v>8.8292351137086444E-3</v>
      </c>
      <c r="R361" s="10">
        <f ca="1"/>
        <v>0.20295113437669715</v>
      </c>
      <c r="S361" s="10">
        <f ca="1"/>
        <v>-0.73203680554468598</v>
      </c>
      <c r="T361" s="11">
        <f ca="1"/>
        <v>1.1850958595326946</v>
      </c>
      <c r="V361" s="7" t="s">
        <v>54</v>
      </c>
      <c r="W361" s="18" cm="1">
        <f t="array" aca="1" ref="W361:AD363" ca="1">(_xlfn.RANDARRAY(F346,F344)-0.5)*2</f>
        <v>0.31688803999915338</v>
      </c>
      <c r="X361" s="18">
        <f ca="1"/>
        <v>0.51803830892354386</v>
      </c>
      <c r="Y361" s="18">
        <f ca="1"/>
        <v>-0.49541460241091384</v>
      </c>
      <c r="Z361" s="18">
        <f ca="1"/>
        <v>-4.464429758294397E-2</v>
      </c>
      <c r="AA361" s="18">
        <f ca="1"/>
        <v>0.30554214592969231</v>
      </c>
      <c r="AB361" s="18">
        <f ca="1"/>
        <v>-2.0159634647705094E-2</v>
      </c>
      <c r="AC361" s="18">
        <f ca="1"/>
        <v>-0.29388535359424672</v>
      </c>
      <c r="AD361" s="18">
        <f ca="1"/>
        <v>0.64797821181100757</v>
      </c>
      <c r="AF361" s="7" t="s">
        <v>55</v>
      </c>
      <c r="AG361" s="9" cm="1">
        <f t="array" aca="1" ref="AG361:AL363" ca="1">MMULT(_xlfn.ANCHORARRAY(W361),_xlfn.ANCHORARRAY(O346))</f>
        <v>0.20144144862336477</v>
      </c>
      <c r="AH361" s="10">
        <f ca="1"/>
        <v>1.0417323114261885</v>
      </c>
      <c r="AI361" s="10">
        <f ca="1"/>
        <v>2.5679600279251202E-2</v>
      </c>
      <c r="AJ361" s="10">
        <f ca="1"/>
        <v>0.58539139291325593</v>
      </c>
      <c r="AK361" s="10">
        <f ca="1"/>
        <v>-0.1780746780713035</v>
      </c>
      <c r="AL361" s="11">
        <f ca="1"/>
        <v>0.34612846885917842</v>
      </c>
    </row>
    <row r="362" spans="4:38" ht="24" customHeight="1" x14ac:dyDescent="0.3">
      <c r="E362" s="18">
        <f ca="1"/>
        <v>-7.3585789112565525E-2</v>
      </c>
      <c r="F362" s="18">
        <f ca="1"/>
        <v>-0.55680956181729746</v>
      </c>
      <c r="G362" s="18">
        <f ca="1"/>
        <v>-0.84873264128218873</v>
      </c>
      <c r="H362" s="18">
        <f ca="1"/>
        <v>-0.4736976873820935</v>
      </c>
      <c r="O362" s="12">
        <f ca="1"/>
        <v>-0.63253861471603079</v>
      </c>
      <c r="P362" s="13">
        <f ca="1"/>
        <v>1.023240678839946</v>
      </c>
      <c r="Q362" s="13">
        <f ca="1"/>
        <v>0.20451460279514222</v>
      </c>
      <c r="R362" s="13">
        <f ca="1"/>
        <v>0.54189430174478803</v>
      </c>
      <c r="S362" s="13">
        <f ca="1"/>
        <v>-0.55508355514409424</v>
      </c>
      <c r="T362" s="14">
        <f ca="1"/>
        <v>0.32895266460922767</v>
      </c>
      <c r="W362" s="18">
        <f ca="1"/>
        <v>0.48964795578951126</v>
      </c>
      <c r="X362" s="18">
        <f ca="1"/>
        <v>0.77473186212203204</v>
      </c>
      <c r="Y362" s="18">
        <f ca="1"/>
        <v>-0.85584982555999556</v>
      </c>
      <c r="Z362" s="18">
        <f ca="1"/>
        <v>-0.83503244060904747</v>
      </c>
      <c r="AA362" s="18">
        <f ca="1"/>
        <v>0.63125933492755326</v>
      </c>
      <c r="AB362" s="18">
        <f ca="1"/>
        <v>0.9596284315278929</v>
      </c>
      <c r="AC362" s="18">
        <f ca="1"/>
        <v>0.18618671285229338</v>
      </c>
      <c r="AD362" s="18">
        <f ca="1"/>
        <v>-0.28245966851468207</v>
      </c>
      <c r="AG362" s="12">
        <f ca="1"/>
        <v>0.2214301210702346</v>
      </c>
      <c r="AH362" s="13">
        <f ca="1"/>
        <v>2.4073856432748664</v>
      </c>
      <c r="AI362" s="13">
        <f ca="1"/>
        <v>0.56700208096013893</v>
      </c>
      <c r="AJ362" s="13">
        <f ca="1"/>
        <v>-0.84667890361017162</v>
      </c>
      <c r="AK362" s="13">
        <f ca="1"/>
        <v>-1.2693913748603414</v>
      </c>
      <c r="AL362" s="14">
        <f ca="1"/>
        <v>-0.10294457135515339</v>
      </c>
    </row>
    <row r="363" spans="4:38" ht="24" customHeight="1" x14ac:dyDescent="0.3">
      <c r="E363" s="18">
        <f ca="1"/>
        <v>0.50508312323480764</v>
      </c>
      <c r="F363" s="18">
        <f ca="1"/>
        <v>-0.62113540018834001</v>
      </c>
      <c r="G363" s="18">
        <f ca="1"/>
        <v>-0.8201509744758213</v>
      </c>
      <c r="H363" s="18">
        <f ca="1"/>
        <v>-1.8263363288369305E-2</v>
      </c>
      <c r="O363" s="15">
        <f ca="1"/>
        <v>0.55059597658970294</v>
      </c>
      <c r="P363" s="16">
        <f ca="1"/>
        <v>1.0125884150975839</v>
      </c>
      <c r="Q363" s="16">
        <f ca="1"/>
        <v>0.5254261001931787</v>
      </c>
      <c r="R363" s="16">
        <f ca="1"/>
        <v>0.65728551105085176</v>
      </c>
      <c r="S363" s="16">
        <f ca="1"/>
        <v>7.963494263399494E-2</v>
      </c>
      <c r="T363" s="17">
        <f ca="1"/>
        <v>-0.23909571990388542</v>
      </c>
      <c r="W363" s="18">
        <f ca="1"/>
        <v>0.97217571235525391</v>
      </c>
      <c r="X363" s="18">
        <f ca="1"/>
        <v>-0.69732179904855318</v>
      </c>
      <c r="Y363" s="18">
        <f ca="1"/>
        <v>-0.58847717130413812</v>
      </c>
      <c r="Z363" s="18">
        <f ca="1"/>
        <v>-0.83128001732275791</v>
      </c>
      <c r="AA363" s="18">
        <f ca="1"/>
        <v>-0.26893134989729717</v>
      </c>
      <c r="AB363" s="18">
        <f ca="1"/>
        <v>-0.2375950063259733</v>
      </c>
      <c r="AC363" s="18">
        <f ca="1"/>
        <v>0.52156413855433215</v>
      </c>
      <c r="AD363" s="18">
        <f ca="1"/>
        <v>0.7116868568309096</v>
      </c>
      <c r="AG363" s="15">
        <f ca="1"/>
        <v>0.76950445250973143</v>
      </c>
      <c r="AH363" s="16">
        <f ca="1"/>
        <v>0.99524609170270362</v>
      </c>
      <c r="AI363" s="16">
        <f ca="1"/>
        <v>-0.86660778069800981</v>
      </c>
      <c r="AJ363" s="16">
        <f ca="1"/>
        <v>-0.30842200032837774</v>
      </c>
      <c r="AK363" s="16">
        <f ca="1"/>
        <v>-0.41264840369781458</v>
      </c>
      <c r="AL363" s="17">
        <f ca="1"/>
        <v>-0.90024495080562672</v>
      </c>
    </row>
    <row r="368" spans="4:38" ht="24" customHeight="1" x14ac:dyDescent="0.3">
      <c r="V368" s="7" t="s">
        <v>94</v>
      </c>
      <c r="W368" s="18" cm="1">
        <f t="array" aca="1" ref="W368:AD369" ca="1">(_xlfn.RANDARRAY(F349,F344)-0.5)*2</f>
        <v>-0.66091442835358816</v>
      </c>
      <c r="X368" s="18">
        <f ca="1"/>
        <v>0.26151099623813145</v>
      </c>
      <c r="Y368" s="1">
        <f ca="1"/>
        <v>0.55589181012313471</v>
      </c>
      <c r="Z368" s="1">
        <f ca="1"/>
        <v>-0.3664164709498805</v>
      </c>
      <c r="AA368" s="1">
        <f ca="1"/>
        <v>0.38762893052578473</v>
      </c>
      <c r="AB368" s="1">
        <f ca="1"/>
        <v>-0.61925088211637691</v>
      </c>
      <c r="AC368" s="1">
        <f ca="1"/>
        <v>4.6547919935421955E-2</v>
      </c>
      <c r="AD368" s="1">
        <f ca="1"/>
        <v>0.77860483077057996</v>
      </c>
      <c r="AF368" s="7" t="s">
        <v>95</v>
      </c>
      <c r="AG368" s="9" cm="1">
        <f t="array" aca="1" ref="AG368:AL369" ca="1">MMULT(_xlfn.ANCHORARRAY(W368),_xlfn.ANCHORARRAY(O346))</f>
        <v>0.50123161375944736</v>
      </c>
      <c r="AH368" s="10">
        <f ca="1"/>
        <v>0.39450674030400956</v>
      </c>
      <c r="AI368" s="10">
        <f ca="1"/>
        <v>-0.3355011587822706</v>
      </c>
      <c r="AJ368" s="10">
        <f ca="1"/>
        <v>1.9491459661148185</v>
      </c>
      <c r="AK368" s="10">
        <f ca="1"/>
        <v>1.572756454299685</v>
      </c>
      <c r="AL368" s="11">
        <f ca="1"/>
        <v>1.6745715664032894</v>
      </c>
    </row>
    <row r="369" spans="4:38" ht="24" customHeight="1" x14ac:dyDescent="0.3">
      <c r="D369" s="7" t="s">
        <v>84</v>
      </c>
      <c r="E369" s="18" cm="1">
        <f t="array" aca="1" ref="E369:H370" ca="1">(_xlfn.RANDARRAY(F349,F345)-0.5)*2</f>
        <v>0.53059579638649357</v>
      </c>
      <c r="F369" s="18">
        <f ca="1"/>
        <v>-0.38225949857500252</v>
      </c>
      <c r="G369" s="18">
        <f ca="1"/>
        <v>0.50634901269274923</v>
      </c>
      <c r="H369" s="18">
        <f ca="1"/>
        <v>0.77688331932666044</v>
      </c>
      <c r="N369" s="7" t="s">
        <v>85</v>
      </c>
      <c r="O369" s="9" cm="1">
        <f t="array" aca="1" ref="O369:T370" ca="1">MMULT(_xlfn.ANCHORARRAY(E369),_xlfn.ANCHORARRAY(O356))</f>
        <v>1.6187221019389109</v>
      </c>
      <c r="P369" s="10">
        <f ca="1"/>
        <v>-1.0987120120168525</v>
      </c>
      <c r="Q369" s="10">
        <f ca="1"/>
        <v>0.36987859049408639</v>
      </c>
      <c r="R369" s="10">
        <f ca="1"/>
        <v>0.10159651144328799</v>
      </c>
      <c r="S369" s="10">
        <f ca="1"/>
        <v>0.96909144814251369</v>
      </c>
      <c r="T369" s="11">
        <f ca="1"/>
        <v>-0.65678583019543346</v>
      </c>
      <c r="W369" s="18">
        <f ca="1"/>
        <v>0.46484094602548343</v>
      </c>
      <c r="X369" s="18">
        <f ca="1"/>
        <v>-0.23295420513563547</v>
      </c>
      <c r="Y369" s="1">
        <f ca="1"/>
        <v>0.27905692681537131</v>
      </c>
      <c r="Z369" s="1">
        <f ca="1"/>
        <v>-0.10276363825366097</v>
      </c>
      <c r="AA369" s="1">
        <f ca="1"/>
        <v>0.22213976277291536</v>
      </c>
      <c r="AB369" s="1">
        <f ca="1"/>
        <v>-0.949639117769284</v>
      </c>
      <c r="AC369" s="1">
        <f ca="1"/>
        <v>-0.31800131483786087</v>
      </c>
      <c r="AD369" s="1">
        <f ca="1"/>
        <v>0.9249125921933512</v>
      </c>
      <c r="AG369" s="15">
        <f ca="1"/>
        <v>0.57267063620443914</v>
      </c>
      <c r="AH369" s="16">
        <f ca="1"/>
        <v>-0.11784216858723495</v>
      </c>
      <c r="AI369" s="16">
        <f ca="1"/>
        <v>-0.809758892493464</v>
      </c>
      <c r="AJ369" s="16">
        <f ca="1"/>
        <v>1.2501419998909</v>
      </c>
      <c r="AK369" s="16">
        <f ca="1"/>
        <v>0.95415055426053685</v>
      </c>
      <c r="AL369" s="17">
        <f ca="1"/>
        <v>0.56051818848522528</v>
      </c>
    </row>
    <row r="370" spans="4:38" ht="24" customHeight="1" x14ac:dyDescent="0.3">
      <c r="E370" s="18">
        <f ca="1"/>
        <v>-0.48112779002955941</v>
      </c>
      <c r="F370" s="18">
        <f ca="1"/>
        <v>-0.48108249388367907</v>
      </c>
      <c r="G370" s="18">
        <f ca="1"/>
        <v>-0.16292490901008572</v>
      </c>
      <c r="H370" s="18">
        <f ca="1"/>
        <v>0.97110383538075729</v>
      </c>
      <c r="O370" s="15">
        <f ca="1"/>
        <v>0.54855940372271383</v>
      </c>
      <c r="P370" s="16">
        <f ca="1"/>
        <v>-0.36383940593311281</v>
      </c>
      <c r="Q370" s="16">
        <f ca="1"/>
        <v>1.0468161078959786</v>
      </c>
      <c r="R370" s="16">
        <f ca="1"/>
        <v>0.78235026199930147</v>
      </c>
      <c r="S370" s="16">
        <f ca="1"/>
        <v>0.7192340242619224</v>
      </c>
      <c r="T370" s="17">
        <f ca="1"/>
        <v>0.98350173545269592</v>
      </c>
      <c r="V370" s="7" t="s">
        <v>66</v>
      </c>
      <c r="W370" s="8" cm="1">
        <f t="array" ref="W370:AB370">_xlfn.SEQUENCE(1,F343,1)</f>
        <v>1</v>
      </c>
      <c r="X370" s="8">
        <v>2</v>
      </c>
      <c r="Y370" s="8">
        <v>3</v>
      </c>
      <c r="Z370" s="8">
        <v>4</v>
      </c>
      <c r="AA370" s="8">
        <v>5</v>
      </c>
      <c r="AB370" s="8">
        <v>6</v>
      </c>
    </row>
    <row r="373" spans="4:38" ht="24" customHeight="1" x14ac:dyDescent="0.3">
      <c r="V373" s="3" t="s">
        <v>96</v>
      </c>
      <c r="AG373" s="9" cm="1">
        <f t="array" aca="1" ref="AG373:AL374" ca="1">IF(_xlfn.SEQUENCE(2,1)=1,COS(_xlfn.ANCHORARRAY(W370))*AG368:AL368-SIN(_xlfn.ANCHORARRAY(W370))*AG369:AL369,SIN(_xlfn.ANCHORARRAY(W370))*AG368:AL368+COS(_xlfn.ANCHORARRAY(W370))*AG369:AL369)</f>
        <v>-0.21106912752927581</v>
      </c>
      <c r="AH373" s="10">
        <f ca="1"/>
        <v>-5.7019151306107699E-2</v>
      </c>
      <c r="AI373" s="10">
        <f ca="1"/>
        <v>0.44641681123042931</v>
      </c>
      <c r="AJ373" s="10">
        <f ca="1"/>
        <v>-0.32793624187631609</v>
      </c>
      <c r="AK373" s="10">
        <f ca="1"/>
        <v>1.3610896611917602</v>
      </c>
      <c r="AL373" s="11">
        <f ca="1"/>
        <v>1.7644913298151574</v>
      </c>
    </row>
    <row r="374" spans="4:38" ht="24" customHeight="1" x14ac:dyDescent="0.3">
      <c r="AG374" s="15">
        <f ca="1"/>
        <v>0.73118712489124649</v>
      </c>
      <c r="AH374" s="16">
        <f ca="1"/>
        <v>0.40776360949325624</v>
      </c>
      <c r="AI374" s="16">
        <f ca="1"/>
        <v>0.75430930139256724</v>
      </c>
      <c r="AJ374" s="16">
        <f ca="1"/>
        <v>-2.292265874277442</v>
      </c>
      <c r="AK374" s="16">
        <f ca="1"/>
        <v>-1.2374979106786026</v>
      </c>
      <c r="AL374" s="17">
        <f ca="1"/>
        <v>7.0291661214271883E-2</v>
      </c>
    </row>
    <row r="376" spans="4:38" ht="24" customHeight="1" x14ac:dyDescent="0.3">
      <c r="D376" s="3" t="s">
        <v>88</v>
      </c>
      <c r="O376" s="9" cm="1">
        <f t="array" aca="1" ref="O376:T377" ca="1">IF(_xlfn.SEQUENCE(2,1)=1,COS(_xlfn.ANCHORARRAY(W370))*O369:T369-SIN(_xlfn.ANCHORARRAY(W370))*O370:T370,SIN(_xlfn.ANCHORARRAY(W370))*O369:T369+COS(_xlfn.ANCHORARRAY(W370))*O370:T370)</f>
        <v>0.4130024625611311</v>
      </c>
      <c r="P376" s="10">
        <f ca="1"/>
        <v>0.78806376366992326</v>
      </c>
      <c r="Q376" s="10">
        <f ca="1"/>
        <v>-0.51390372682577368</v>
      </c>
      <c r="R376" s="10">
        <f ca="1"/>
        <v>0.5256767188789806</v>
      </c>
      <c r="S376" s="10">
        <f ca="1"/>
        <v>0.96458556312224231</v>
      </c>
      <c r="T376" s="11">
        <f ca="1"/>
        <v>-0.35582061145562471</v>
      </c>
    </row>
    <row r="377" spans="4:38" ht="24" customHeight="1" x14ac:dyDescent="0.3">
      <c r="O377" s="15">
        <f ca="1"/>
        <v>1.6584955919858775</v>
      </c>
      <c r="P377" s="16">
        <f ca="1"/>
        <v>-0.84764538755913499</v>
      </c>
      <c r="Q377" s="16">
        <f ca="1"/>
        <v>-0.9841428224658032</v>
      </c>
      <c r="R377" s="16">
        <f ca="1"/>
        <v>-0.58826675141167972</v>
      </c>
      <c r="S377" s="16">
        <f ca="1"/>
        <v>-0.72526581881066243</v>
      </c>
      <c r="T377" s="17">
        <f ca="1"/>
        <v>1.1278452832047996</v>
      </c>
    </row>
    <row r="380" spans="4:38" ht="24" customHeight="1" x14ac:dyDescent="0.3">
      <c r="D380" s="3" t="s">
        <v>109</v>
      </c>
      <c r="V380" s="3" t="s">
        <v>117</v>
      </c>
    </row>
    <row r="381" spans="4:38" ht="24" customHeight="1" x14ac:dyDescent="0.3">
      <c r="D381" s="7" t="s">
        <v>90</v>
      </c>
      <c r="E381" s="18" cm="1">
        <f t="array" aca="1" ref="E381:G383" ca="1">(_xlfn.RANDARRAY(F348,F346)-0.5)*2</f>
        <v>0.47210780666601826</v>
      </c>
      <c r="F381" s="18">
        <f ca="1"/>
        <v>0.8664749738098072</v>
      </c>
      <c r="G381" s="18">
        <f ca="1"/>
        <v>-0.25859285989984526</v>
      </c>
      <c r="N381" s="7" t="s">
        <v>91</v>
      </c>
      <c r="O381" s="9" cm="1">
        <f t="array" aca="1" ref="O381:T383" ca="1">MMULT(_xlfn.ANCHORARRAY(E381),_xlfn.ANCHORARRAY(AG361))</f>
        <v>8.7977381756079998E-2</v>
      </c>
      <c r="P381" s="10">
        <f ca="1"/>
        <v>2.3203858357296889</v>
      </c>
      <c r="Q381" s="10">
        <f ca="1"/>
        <v>0.72751523743609614</v>
      </c>
      <c r="R381" s="10">
        <f ca="1"/>
        <v>-0.37750250716055095</v>
      </c>
      <c r="S381" s="10">
        <f ca="1"/>
        <v>-1.077258373128186</v>
      </c>
      <c r="T381" s="11">
        <f ca="1"/>
        <v>0.30700797392817808</v>
      </c>
      <c r="V381" s="7" t="s">
        <v>90</v>
      </c>
      <c r="W381" s="9" cm="1">
        <f t="array" aca="1" ref="W381:Y383" ca="1">_xlfn.ANCHORARRAY(E381)</f>
        <v>0.47210780666601826</v>
      </c>
      <c r="X381" s="10">
        <f ca="1"/>
        <v>0.8664749738098072</v>
      </c>
      <c r="Y381" s="11">
        <f ca="1"/>
        <v>-0.25859285989984526</v>
      </c>
    </row>
    <row r="382" spans="4:38" ht="24" customHeight="1" x14ac:dyDescent="0.3">
      <c r="E382" s="18">
        <f ca="1"/>
        <v>-0.28168208801554462</v>
      </c>
      <c r="F382" s="18">
        <f ca="1"/>
        <v>-9.087198050126144E-3</v>
      </c>
      <c r="G382" s="18">
        <f ca="1"/>
        <v>-0.27156961812003333</v>
      </c>
      <c r="O382" s="12">
        <f ca="1"/>
        <v>-0.26772865753526714</v>
      </c>
      <c r="P382" s="13">
        <f ca="1"/>
        <v>-0.5855923238184163</v>
      </c>
      <c r="Q382" s="13">
        <f ca="1"/>
        <v>0.22295840043342563</v>
      </c>
      <c r="R382" s="13">
        <f ca="1"/>
        <v>-7.344228613117039E-2</v>
      </c>
      <c r="S382" s="13">
        <f ca="1"/>
        <v>0.1737584273783554</v>
      </c>
      <c r="T382" s="14">
        <f ca="1"/>
        <v>0.14791646538298509</v>
      </c>
      <c r="W382" s="12">
        <f ca="1"/>
        <v>-0.28168208801554462</v>
      </c>
      <c r="X382" s="13">
        <f ca="1"/>
        <v>-9.087198050126144E-3</v>
      </c>
      <c r="Y382" s="14">
        <f ca="1"/>
        <v>-0.27156961812003333</v>
      </c>
    </row>
    <row r="383" spans="4:38" ht="24" customHeight="1" x14ac:dyDescent="0.3">
      <c r="E383" s="18">
        <f ca="1"/>
        <v>0.2441074421936662</v>
      </c>
      <c r="F383" s="18">
        <f ca="1"/>
        <v>-0.21484462335547683</v>
      </c>
      <c r="G383" s="18">
        <f ca="1"/>
        <v>-0.71657056900902916</v>
      </c>
      <c r="O383" s="15">
        <f ca="1"/>
        <v>-0.54980395757553546</v>
      </c>
      <c r="P383" s="16">
        <f ca="1"/>
        <v>-0.97608331004344717</v>
      </c>
      <c r="Q383" s="16">
        <f ca="1"/>
        <v>0.50543686353749595</v>
      </c>
      <c r="R383" s="16">
        <f ca="1"/>
        <v>0.54580893402560637</v>
      </c>
      <c r="S383" s="16">
        <f ca="1"/>
        <v>0.52494425907752507</v>
      </c>
      <c r="T383" s="17">
        <f ca="1"/>
        <v>0.75169865950920634</v>
      </c>
      <c r="W383" s="15">
        <f ca="1"/>
        <v>0.2441074421936662</v>
      </c>
      <c r="X383" s="16">
        <f ca="1"/>
        <v>-0.21484462335547683</v>
      </c>
      <c r="Y383" s="17">
        <f ca="1"/>
        <v>-0.71657056900902916</v>
      </c>
    </row>
    <row r="384" spans="4:38" ht="24" customHeight="1" x14ac:dyDescent="0.3">
      <c r="W384" s="1" t="s">
        <v>118</v>
      </c>
    </row>
    <row r="385" spans="4:28" ht="24" customHeight="1" x14ac:dyDescent="0.3">
      <c r="D385" s="7" t="s">
        <v>110</v>
      </c>
      <c r="E385" s="18" cm="1">
        <f t="array" aca="1" ref="E385:G387" ca="1">(_xlfn.RANDARRAY(F350,F346)-0.5)*2</f>
        <v>-0.39621868590259623</v>
      </c>
      <c r="F385" s="18">
        <f ca="1"/>
        <v>2.2306461633956332E-3</v>
      </c>
      <c r="G385" s="18">
        <f ca="1"/>
        <v>-0.28919218480097975</v>
      </c>
      <c r="N385" s="7" t="s">
        <v>111</v>
      </c>
      <c r="O385" s="9" cm="1">
        <f t="array" aca="1" ref="O385:T387" ca="1">MMULT(_xlfn.ANCHORARRAY(E385),_xlfn.ANCHORARRAY(AG361))</f>
        <v>-0.30185560764521036</v>
      </c>
      <c r="P385" s="10">
        <f ca="1"/>
        <v>-0.69520117362071487</v>
      </c>
      <c r="Q385" s="10">
        <f ca="1"/>
        <v>0.24170624100496799</v>
      </c>
      <c r="R385" s="10">
        <f ca="1"/>
        <v>-0.14463841737109465</v>
      </c>
      <c r="S385" s="10">
        <f ca="1"/>
        <v>0.1870596453577677</v>
      </c>
      <c r="T385" s="11">
        <f ca="1"/>
        <v>0.12297160418153258</v>
      </c>
      <c r="W385" s="9" cm="1">
        <f t="array" aca="1" ref="W385:Y390" ca="1">MMULT(_xlfn.ANCHORARRAY(E397),_xlfn.ANCHORARRAY(W381))</f>
        <v>-0.42252803389240723</v>
      </c>
      <c r="X385" s="10">
        <f ca="1"/>
        <v>-1.46171136585976</v>
      </c>
      <c r="Y385" s="11">
        <f ca="1"/>
        <v>0.17988595406315483</v>
      </c>
    </row>
    <row r="386" spans="4:28" ht="24" customHeight="1" x14ac:dyDescent="0.3">
      <c r="E386" s="18">
        <f ca="1"/>
        <v>-0.43743041215938971</v>
      </c>
      <c r="F386" s="18">
        <f ca="1"/>
        <v>0.73771838350072416</v>
      </c>
      <c r="G386" s="18">
        <f ca="1"/>
        <v>-3.3699320590457216E-2</v>
      </c>
      <c r="O386" s="12">
        <f ca="1"/>
        <v>4.9304677836090424E-2</v>
      </c>
      <c r="P386" s="13">
        <f ca="1"/>
        <v>1.2867481337619853</v>
      </c>
      <c r="Q386" s="13">
        <f ca="1"/>
        <v>0.43625891390114602</v>
      </c>
      <c r="R386" s="13">
        <f ca="1"/>
        <v>-0.87028497852584985</v>
      </c>
      <c r="S386" s="13">
        <f ca="1"/>
        <v>-0.84465210242049893</v>
      </c>
      <c r="T386" s="14">
        <f ca="1"/>
        <v>-0.19701357835632841</v>
      </c>
      <c r="W386" s="12">
        <f ca="1"/>
        <v>0.2645246985233275</v>
      </c>
      <c r="X386" s="13">
        <f ca="1"/>
        <v>0.33398042164387132</v>
      </c>
      <c r="Y386" s="14">
        <f ca="1"/>
        <v>-1.1708469811947757</v>
      </c>
    </row>
    <row r="387" spans="4:28" ht="24" customHeight="1" x14ac:dyDescent="0.3">
      <c r="E387" s="18">
        <f ca="1"/>
        <v>9.2262222333769017E-2</v>
      </c>
      <c r="F387" s="18">
        <f ca="1"/>
        <v>0.3508318959190504</v>
      </c>
      <c r="G387" s="18">
        <f ca="1"/>
        <v>0.3534577942643109</v>
      </c>
      <c r="O387" s="15">
        <f ca="1"/>
        <v>0.36825753136943651</v>
      </c>
      <c r="P387" s="16">
        <f ca="1"/>
        <v>1.2924776958909119</v>
      </c>
      <c r="Q387" s="16">
        <f ca="1"/>
        <v>-0.10501760261410917</v>
      </c>
      <c r="R387" s="16">
        <f ca="1"/>
        <v>-0.35204661408163684</v>
      </c>
      <c r="S387" s="16">
        <f ca="1"/>
        <v>-0.60762634282349093</v>
      </c>
      <c r="T387" s="17">
        <f ca="1"/>
        <v>-0.3223802520025098</v>
      </c>
      <c r="W387" s="12">
        <f ca="1"/>
        <v>7.482067185901603E-2</v>
      </c>
      <c r="X387" s="13">
        <f ca="1"/>
        <v>-0.10709312603297151</v>
      </c>
      <c r="Y387" s="14">
        <f ca="1"/>
        <v>-0.43432800932745036</v>
      </c>
    </row>
    <row r="388" spans="4:28" ht="24" customHeight="1" x14ac:dyDescent="0.3">
      <c r="W388" s="12">
        <f ca="1"/>
        <v>0.10362118140534551</v>
      </c>
      <c r="X388" s="13">
        <f ca="1"/>
        <v>2.9713519942797306E-2</v>
      </c>
      <c r="Y388" s="14">
        <f ca="1"/>
        <v>-0.67063519549974138</v>
      </c>
    </row>
    <row r="389" spans="4:28" ht="24" customHeight="1" x14ac:dyDescent="0.3">
      <c r="W389" s="12">
        <f ca="1"/>
        <v>-0.16980371367279617</v>
      </c>
      <c r="X389" s="13">
        <f ca="1"/>
        <v>-0.64635655696831984</v>
      </c>
      <c r="Y389" s="14">
        <f ca="1"/>
        <v>0.28297926403669621</v>
      </c>
    </row>
    <row r="390" spans="4:28" ht="24" customHeight="1" x14ac:dyDescent="0.3">
      <c r="D390" s="7" t="s">
        <v>98</v>
      </c>
      <c r="E390" s="9" cm="1">
        <f t="array" aca="1" ref="E390:G395" ca="1">TRANSPOSE(_xlfn.ANCHORARRAY(O381))</f>
        <v>8.7977381756079998E-2</v>
      </c>
      <c r="F390" s="10">
        <f ca="1"/>
        <v>-0.26772865753526714</v>
      </c>
      <c r="G390" s="11">
        <f ca="1"/>
        <v>-0.54980395757553546</v>
      </c>
      <c r="W390" s="15">
        <f ca="1"/>
        <v>0.40846788888236502</v>
      </c>
      <c r="X390" s="16">
        <f ca="1"/>
        <v>1.0752350757269387</v>
      </c>
      <c r="Y390" s="17">
        <f ca="1"/>
        <v>-0.22446192102036958</v>
      </c>
    </row>
    <row r="391" spans="4:28" ht="24" customHeight="1" x14ac:dyDescent="0.3">
      <c r="E391" s="12">
        <f ca="1"/>
        <v>2.3203858357296889</v>
      </c>
      <c r="F391" s="13">
        <f ca="1"/>
        <v>-0.5855923238184163</v>
      </c>
      <c r="G391" s="14">
        <f ca="1"/>
        <v>-0.97608331004344717</v>
      </c>
    </row>
    <row r="392" spans="4:28" ht="24" customHeight="1" x14ac:dyDescent="0.3">
      <c r="E392" s="12">
        <f ca="1"/>
        <v>0.72751523743609614</v>
      </c>
      <c r="F392" s="13">
        <f ca="1"/>
        <v>0.22295840043342563</v>
      </c>
      <c r="G392" s="14">
        <f ca="1"/>
        <v>0.50543686353749595</v>
      </c>
      <c r="V392" s="7" t="s">
        <v>119</v>
      </c>
      <c r="W392" s="9" cm="1">
        <f t="array" aca="1" ref="W392:Y397" ca="1">TRANSPOSE(_xlfn.ANCHORARRAY(AG361))</f>
        <v>0.20144144862336477</v>
      </c>
      <c r="X392" s="10">
        <f ca="1"/>
        <v>0.2214301210702346</v>
      </c>
      <c r="Y392" s="11">
        <f ca="1"/>
        <v>0.76950445250973143</v>
      </c>
    </row>
    <row r="393" spans="4:28" ht="24" customHeight="1" x14ac:dyDescent="0.3">
      <c r="E393" s="12">
        <f ca="1"/>
        <v>-0.37750250716055095</v>
      </c>
      <c r="F393" s="13">
        <f ca="1"/>
        <v>-7.344228613117039E-2</v>
      </c>
      <c r="G393" s="14">
        <f ca="1"/>
        <v>0.54580893402560637</v>
      </c>
      <c r="W393" s="12">
        <f ca="1"/>
        <v>1.0417323114261885</v>
      </c>
      <c r="X393" s="13">
        <f ca="1"/>
        <v>2.4073856432748664</v>
      </c>
      <c r="Y393" s="14">
        <f ca="1"/>
        <v>0.99524609170270362</v>
      </c>
    </row>
    <row r="394" spans="4:28" ht="24" customHeight="1" x14ac:dyDescent="0.3">
      <c r="E394" s="12">
        <f ca="1"/>
        <v>-1.077258373128186</v>
      </c>
      <c r="F394" s="13">
        <f ca="1"/>
        <v>0.1737584273783554</v>
      </c>
      <c r="G394" s="14">
        <f ca="1"/>
        <v>0.52494425907752507</v>
      </c>
      <c r="W394" s="12">
        <f ca="1"/>
        <v>2.5679600279251202E-2</v>
      </c>
      <c r="X394" s="13">
        <f ca="1"/>
        <v>0.56700208096013893</v>
      </c>
      <c r="Y394" s="14">
        <f ca="1"/>
        <v>-0.86660778069800981</v>
      </c>
    </row>
    <row r="395" spans="4:28" ht="24" customHeight="1" x14ac:dyDescent="0.3">
      <c r="E395" s="15">
        <f ca="1"/>
        <v>0.30700797392817808</v>
      </c>
      <c r="F395" s="16">
        <f ca="1"/>
        <v>0.14791646538298509</v>
      </c>
      <c r="G395" s="17">
        <f ca="1"/>
        <v>0.75169865950920634</v>
      </c>
      <c r="W395" s="12">
        <f ca="1"/>
        <v>0.58539139291325593</v>
      </c>
      <c r="X395" s="13">
        <f ca="1"/>
        <v>-0.84667890361017162</v>
      </c>
      <c r="Y395" s="14">
        <f ca="1"/>
        <v>-0.30842200032837774</v>
      </c>
    </row>
    <row r="396" spans="4:28" ht="24" customHeight="1" x14ac:dyDescent="0.3">
      <c r="W396" s="12">
        <f ca="1"/>
        <v>-0.1780746780713035</v>
      </c>
      <c r="X396" s="13">
        <f ca="1"/>
        <v>-1.2693913748603414</v>
      </c>
      <c r="Y396" s="14">
        <f ca="1"/>
        <v>-0.41264840369781458</v>
      </c>
    </row>
    <row r="397" spans="4:28" ht="24" customHeight="1" x14ac:dyDescent="0.3">
      <c r="D397" s="7" t="s">
        <v>112</v>
      </c>
      <c r="E397" s="9" cm="1">
        <f t="array" aca="1" ref="E397:G402" ca="1">TRANSPOSE(_xlfn.ANCHORARRAY(O361))</f>
        <v>-1.5570753052248292</v>
      </c>
      <c r="F397" s="10">
        <f ca="1"/>
        <v>-0.63253861471603079</v>
      </c>
      <c r="G397" s="11">
        <f ca="1"/>
        <v>0.55059597658970294</v>
      </c>
      <c r="W397" s="15">
        <f ca="1"/>
        <v>0.34612846885917842</v>
      </c>
      <c r="X397" s="16">
        <f ca="1"/>
        <v>-0.10294457135515339</v>
      </c>
      <c r="Y397" s="17">
        <f ca="1"/>
        <v>-0.90024495080562672</v>
      </c>
    </row>
    <row r="398" spans="4:28" ht="24" customHeight="1" x14ac:dyDescent="0.3">
      <c r="E398" s="12">
        <f ca="1"/>
        <v>0.64725237999118235</v>
      </c>
      <c r="F398" s="13">
        <f ca="1"/>
        <v>1.023240678839946</v>
      </c>
      <c r="G398" s="14">
        <f ca="1"/>
        <v>1.0125884150975839</v>
      </c>
    </row>
    <row r="399" spans="4:28" ht="24" customHeight="1" x14ac:dyDescent="0.3">
      <c r="E399" s="12">
        <f ca="1"/>
        <v>8.8292351137086444E-3</v>
      </c>
      <c r="F399" s="13">
        <f ca="1"/>
        <v>0.20451460279514222</v>
      </c>
      <c r="G399" s="14">
        <f ca="1"/>
        <v>0.5254261001931787</v>
      </c>
      <c r="V399" s="7" t="s">
        <v>120</v>
      </c>
      <c r="W399" s="9" cm="1">
        <f t="array" aca="1" ref="W399:AB401" ca="1">TRANSPOSE(_xlfn.ANCHORARRAY(W385))</f>
        <v>-0.42252803389240723</v>
      </c>
      <c r="X399" s="10">
        <f ca="1"/>
        <v>0.2645246985233275</v>
      </c>
      <c r="Y399" s="11">
        <f ca="1"/>
        <v>7.482067185901603E-2</v>
      </c>
      <c r="Z399" s="1">
        <f ca="1"/>
        <v>0.10362118140534551</v>
      </c>
      <c r="AA399" s="1">
        <f ca="1"/>
        <v>-0.16980371367279617</v>
      </c>
      <c r="AB399" s="1">
        <f ca="1"/>
        <v>0.40846788888236502</v>
      </c>
    </row>
    <row r="400" spans="4:28" ht="24" customHeight="1" x14ac:dyDescent="0.3">
      <c r="E400" s="12">
        <f ca="1"/>
        <v>0.20295113437669715</v>
      </c>
      <c r="F400" s="13">
        <f ca="1"/>
        <v>0.54189430174478803</v>
      </c>
      <c r="G400" s="14">
        <f ca="1"/>
        <v>0.65728551105085176</v>
      </c>
      <c r="W400" s="12">
        <f ca="1"/>
        <v>-1.46171136585976</v>
      </c>
      <c r="X400" s="13">
        <f ca="1"/>
        <v>0.33398042164387132</v>
      </c>
      <c r="Y400" s="14">
        <f ca="1"/>
        <v>-0.10709312603297151</v>
      </c>
      <c r="Z400" s="1">
        <f ca="1"/>
        <v>2.9713519942797306E-2</v>
      </c>
      <c r="AA400" s="1">
        <f ca="1"/>
        <v>-0.64635655696831984</v>
      </c>
      <c r="AB400" s="1">
        <f ca="1"/>
        <v>1.0752350757269387</v>
      </c>
    </row>
    <row r="401" spans="4:28" ht="24" customHeight="1" x14ac:dyDescent="0.3">
      <c r="E401" s="12">
        <f ca="1"/>
        <v>-0.73203680554468598</v>
      </c>
      <c r="F401" s="13">
        <f ca="1"/>
        <v>-0.55508355514409424</v>
      </c>
      <c r="G401" s="14">
        <f ca="1"/>
        <v>7.963494263399494E-2</v>
      </c>
      <c r="W401" s="15">
        <f ca="1"/>
        <v>0.17988595406315483</v>
      </c>
      <c r="X401" s="16">
        <f ca="1"/>
        <v>-1.1708469811947757</v>
      </c>
      <c r="Y401" s="17">
        <f ca="1"/>
        <v>-0.43432800932745036</v>
      </c>
      <c r="Z401" s="1">
        <f ca="1"/>
        <v>-0.67063519549974138</v>
      </c>
      <c r="AA401" s="1">
        <f ca="1"/>
        <v>0.28297926403669621</v>
      </c>
      <c r="AB401" s="1">
        <f ca="1"/>
        <v>-0.22446192102036958</v>
      </c>
    </row>
    <row r="402" spans="4:28" ht="24" customHeight="1" x14ac:dyDescent="0.3">
      <c r="E402" s="15">
        <f ca="1"/>
        <v>1.1850958595326946</v>
      </c>
      <c r="F402" s="16">
        <f ca="1"/>
        <v>0.32895266460922767</v>
      </c>
      <c r="G402" s="17">
        <f ca="1"/>
        <v>-0.23909571990388542</v>
      </c>
    </row>
    <row r="403" spans="4:28" ht="24" customHeight="1" x14ac:dyDescent="0.3">
      <c r="V403" s="7" t="s">
        <v>110</v>
      </c>
      <c r="W403" s="9" cm="1">
        <f t="array" aca="1" ref="W403:Y405" ca="1">_xlfn.ANCHORARRAY(E385)</f>
        <v>-0.39621868590259623</v>
      </c>
      <c r="X403" s="10">
        <f ca="1"/>
        <v>2.2306461633956332E-3</v>
      </c>
      <c r="Y403" s="11">
        <f ca="1"/>
        <v>-0.28919218480097975</v>
      </c>
    </row>
    <row r="404" spans="4:28" ht="24" customHeight="1" x14ac:dyDescent="0.3">
      <c r="D404" s="7" t="s">
        <v>113</v>
      </c>
      <c r="E404" s="9" cm="1">
        <f t="array" aca="1" ref="E404:F409" ca="1">TRANSPOSE(_xlfn.ANCHORARRAY(AG373))</f>
        <v>-0.21106912752927581</v>
      </c>
      <c r="F404" s="10">
        <f ca="1"/>
        <v>0.73118712489124649</v>
      </c>
      <c r="G404" s="11"/>
      <c r="W404" s="12">
        <f ca="1"/>
        <v>-0.43743041215938971</v>
      </c>
      <c r="X404" s="13">
        <f ca="1"/>
        <v>0.73771838350072416</v>
      </c>
      <c r="Y404" s="14">
        <f ca="1"/>
        <v>-3.3699320590457216E-2</v>
      </c>
    </row>
    <row r="405" spans="4:28" ht="24" customHeight="1" x14ac:dyDescent="0.3">
      <c r="E405" s="12">
        <f ca="1"/>
        <v>-5.7019151306107699E-2</v>
      </c>
      <c r="F405" s="13">
        <f ca="1"/>
        <v>0.40776360949325624</v>
      </c>
      <c r="G405" s="14"/>
      <c r="W405" s="15">
        <f ca="1"/>
        <v>9.2262222333769017E-2</v>
      </c>
      <c r="X405" s="16">
        <f ca="1"/>
        <v>0.3508318959190504</v>
      </c>
      <c r="Y405" s="17">
        <f ca="1"/>
        <v>0.3534577942643109</v>
      </c>
    </row>
    <row r="406" spans="4:28" ht="24" customHeight="1" x14ac:dyDescent="0.3">
      <c r="E406" s="12">
        <f ca="1"/>
        <v>0.44641681123042931</v>
      </c>
      <c r="F406" s="13">
        <f ca="1"/>
        <v>0.75430930139256724</v>
      </c>
      <c r="G406" s="14"/>
    </row>
    <row r="407" spans="4:28" ht="24" customHeight="1" x14ac:dyDescent="0.3">
      <c r="E407" s="12">
        <f ca="1"/>
        <v>-0.32793624187631609</v>
      </c>
      <c r="F407" s="13">
        <f ca="1"/>
        <v>-2.292265874277442</v>
      </c>
      <c r="G407" s="14"/>
    </row>
    <row r="408" spans="4:28" ht="24" customHeight="1" x14ac:dyDescent="0.3">
      <c r="E408" s="12">
        <f ca="1"/>
        <v>1.3610896611917602</v>
      </c>
      <c r="F408" s="13">
        <f ca="1"/>
        <v>-1.2374979106786026</v>
      </c>
      <c r="G408" s="14"/>
    </row>
    <row r="409" spans="4:28" ht="24" customHeight="1" x14ac:dyDescent="0.3">
      <c r="E409" s="15">
        <f ca="1"/>
        <v>1.7644913298151574</v>
      </c>
      <c r="F409" s="16">
        <f ca="1"/>
        <v>7.0291661214271883E-2</v>
      </c>
      <c r="G409" s="17"/>
    </row>
    <row r="411" spans="4:28" ht="24" customHeight="1" x14ac:dyDescent="0.3">
      <c r="O411" s="1" t="s">
        <v>114</v>
      </c>
      <c r="W411" s="1" t="s">
        <v>121</v>
      </c>
    </row>
    <row r="412" spans="4:28" ht="24" customHeight="1" x14ac:dyDescent="0.3">
      <c r="O412" s="9" cm="1">
        <f t="array" aca="1" ref="O412:T417" ca="1">MMULT(_xlfn.ANCHORARRAY(E390),_xlfn.ANCHORARRAY(O361))+MMULT(_xlfn.ANCHORARRAY(E404),_xlfn.ANCHORARRAY(O376))</f>
        <v>0.85514001276096452</v>
      </c>
      <c r="P412" s="10">
        <f ca="1"/>
        <v>-1.5598557264620077</v>
      </c>
      <c r="Q412" s="10">
        <f ca="1"/>
        <v>-0.95398234595014619</v>
      </c>
      <c r="R412" s="10">
        <f ca="1"/>
        <v>-1.0296909007881301</v>
      </c>
      <c r="S412" s="10">
        <f ca="1"/>
        <v>-0.69347377515735642</v>
      </c>
      <c r="T412" s="11">
        <f ca="1"/>
        <v>1.0474160445712513</v>
      </c>
      <c r="W412" s="9" cm="1">
        <f t="array" aca="1" ref="W412:AB417" ca="1">MMULT(_xlfn.ANCHORARRAY(W392),_xlfn.ANCHORARRAY(W399))+MMULT(_xlfn.ANCHORARRAY(E404),_xlfn.ANCHORARRAY(O376))</f>
        <v>0.85514001276096452</v>
      </c>
      <c r="X412" s="10">
        <f ca="1"/>
        <v>-1.5598557264620077</v>
      </c>
      <c r="Y412" s="10">
        <f ca="1"/>
        <v>-0.95398234595014619</v>
      </c>
      <c r="Z412" s="10">
        <f ca="1"/>
        <v>-1.0296909007881301</v>
      </c>
      <c r="AA412" s="10">
        <f ca="1"/>
        <v>-0.69347377515735642</v>
      </c>
      <c r="AB412" s="11">
        <f ca="1"/>
        <v>1.0474160445712513</v>
      </c>
    </row>
    <row r="413" spans="4:28" ht="24" customHeight="1" x14ac:dyDescent="0.3">
      <c r="O413" s="12">
        <f ca="1"/>
        <v>-3.1273081704237669</v>
      </c>
      <c r="P413" s="13">
        <f ca="1"/>
        <v>-0.47627095397462471</v>
      </c>
      <c r="Q413" s="13">
        <f ca="1"/>
        <v>-0.98412987165609422</v>
      </c>
      <c r="R413" s="13">
        <f ca="1"/>
        <v>-0.7578170374121993</v>
      </c>
      <c r="S413" s="13">
        <f ca="1"/>
        <v>-1.8020223625414613</v>
      </c>
      <c r="T413" s="14">
        <f ca="1"/>
        <v>3.2708076857597459</v>
      </c>
      <c r="W413" s="12">
        <f ca="1"/>
        <v>-3.1273081704237677</v>
      </c>
      <c r="X413" s="13">
        <f ca="1"/>
        <v>-0.47627095397462471</v>
      </c>
      <c r="Y413" s="13">
        <f ca="1"/>
        <v>-0.984129871656094</v>
      </c>
      <c r="Z413" s="13">
        <f ca="1"/>
        <v>-0.75781703741219886</v>
      </c>
      <c r="AA413" s="13">
        <f ca="1"/>
        <v>-1.8020223625414618</v>
      </c>
      <c r="AB413" s="14">
        <f ca="1"/>
        <v>3.2708076857597463</v>
      </c>
    </row>
    <row r="414" spans="4:28" ht="24" customHeight="1" x14ac:dyDescent="0.3">
      <c r="O414" s="12">
        <f ca="1"/>
        <v>0.43985558906825362</v>
      </c>
      <c r="P414" s="13">
        <f ca="1"/>
        <v>0.92324369880967172</v>
      </c>
      <c r="Q414" s="13">
        <f ca="1"/>
        <v>-0.65417197600669541</v>
      </c>
      <c r="R414" s="13">
        <f ca="1"/>
        <v>0.39162209887938682</v>
      </c>
      <c r="S414" s="13">
        <f ca="1"/>
        <v>-0.73254557818975496</v>
      </c>
      <c r="T414" s="14">
        <f ca="1"/>
        <v>1.5065701497156228</v>
      </c>
      <c r="W414" s="12">
        <f ca="1"/>
        <v>0.43985558906825384</v>
      </c>
      <c r="X414" s="13">
        <f ca="1"/>
        <v>0.92324369880967194</v>
      </c>
      <c r="Y414" s="13">
        <f ca="1"/>
        <v>-0.65417197600669541</v>
      </c>
      <c r="Z414" s="13">
        <f ca="1"/>
        <v>0.3916220988793867</v>
      </c>
      <c r="AA414" s="13">
        <f ca="1"/>
        <v>-0.73254557818975496</v>
      </c>
      <c r="AB414" s="14">
        <f ca="1"/>
        <v>1.506570149715623</v>
      </c>
    </row>
    <row r="415" spans="4:28" ht="24" customHeight="1" x14ac:dyDescent="0.3">
      <c r="O415" s="12">
        <f ca="1"/>
        <v>-3.0023762070543967</v>
      </c>
      <c r="P415" s="13">
        <f ca="1"/>
        <v>1.9177851988960311</v>
      </c>
      <c r="Q415" s="13">
        <f ca="1"/>
        <v>2.6928738455023731</v>
      </c>
      <c r="R415" s="13">
        <f ca="1"/>
        <v>1.4184151373192677</v>
      </c>
      <c r="S415" s="13">
        <f ca="1"/>
        <v>1.7067573195618801</v>
      </c>
      <c r="T415" s="14">
        <f ca="1"/>
        <v>-3.0706710539800959</v>
      </c>
      <c r="W415" s="12">
        <f ca="1"/>
        <v>-3.0023762070543967</v>
      </c>
      <c r="X415" s="13">
        <f ca="1"/>
        <v>1.9177851988960311</v>
      </c>
      <c r="Y415" s="13">
        <f ca="1"/>
        <v>2.6928738455023731</v>
      </c>
      <c r="Z415" s="13">
        <f ca="1"/>
        <v>1.4184151373192677</v>
      </c>
      <c r="AA415" s="13">
        <f ca="1"/>
        <v>1.7067573195618801</v>
      </c>
      <c r="AB415" s="14">
        <f ca="1"/>
        <v>-3.0706710539800959</v>
      </c>
    </row>
    <row r="416" spans="4:28" ht="24" customHeight="1" x14ac:dyDescent="0.3">
      <c r="O416" s="12">
        <f ca="1"/>
        <v>0.36624424406387712</v>
      </c>
      <c r="P416" s="13">
        <f ca="1"/>
        <v>2.1336759578178119</v>
      </c>
      <c r="Q416" s="13">
        <f ca="1"/>
        <v>0.82024982034923377</v>
      </c>
      <c r="R416" s="13">
        <f ca="1"/>
        <v>1.6640381714233181</v>
      </c>
      <c r="S416" s="13">
        <f ca="1"/>
        <v>2.9443486113285986</v>
      </c>
      <c r="T416" s="14">
        <f ca="1"/>
        <v>-3.2250180025161113</v>
      </c>
      <c r="W416" s="12">
        <f ca="1"/>
        <v>0.36624424406387734</v>
      </c>
      <c r="X416" s="13">
        <f ca="1"/>
        <v>2.1336759578178119</v>
      </c>
      <c r="Y416" s="13">
        <f ca="1"/>
        <v>0.82024982034923366</v>
      </c>
      <c r="Z416" s="13">
        <f ca="1"/>
        <v>1.6640381714233179</v>
      </c>
      <c r="AA416" s="13">
        <f ca="1"/>
        <v>2.9443486113285986</v>
      </c>
      <c r="AB416" s="14">
        <f ca="1"/>
        <v>-3.2250180025161113</v>
      </c>
    </row>
    <row r="417" spans="4:35" ht="24" customHeight="1" x14ac:dyDescent="0.3">
      <c r="O417" s="15">
        <f ca="1"/>
        <v>0.68760252137458222</v>
      </c>
      <c r="P417" s="16">
        <f ca="1"/>
        <v>2.4421764164397146</v>
      </c>
      <c r="Q417" s="16">
        <f ca="1"/>
        <v>-0.5480318862723782</v>
      </c>
      <c r="R417" s="16">
        <f ca="1"/>
        <v>1.5227451094222251</v>
      </c>
      <c r="S417" s="16">
        <f ca="1"/>
        <v>1.4040370694157382</v>
      </c>
      <c r="T417" s="17">
        <f ca="1"/>
        <v>-0.31580080330685378</v>
      </c>
      <c r="W417" s="15">
        <f ca="1"/>
        <v>0.68760252137458244</v>
      </c>
      <c r="X417" s="16">
        <f ca="1"/>
        <v>2.4421764164397146</v>
      </c>
      <c r="Y417" s="16">
        <f ca="1"/>
        <v>-0.54803188627237809</v>
      </c>
      <c r="Z417" s="16">
        <f ca="1"/>
        <v>1.5227451094222251</v>
      </c>
      <c r="AA417" s="16">
        <f ca="1"/>
        <v>1.4040370694157382</v>
      </c>
      <c r="AB417" s="17">
        <f ca="1"/>
        <v>-0.31580080330685378</v>
      </c>
    </row>
    <row r="418" spans="4:35" ht="24" customHeight="1" x14ac:dyDescent="0.3">
      <c r="O418" s="3" t="s">
        <v>115</v>
      </c>
      <c r="W418" s="3" t="s">
        <v>122</v>
      </c>
      <c r="AD418" s="1" t="s">
        <v>123</v>
      </c>
    </row>
    <row r="419" spans="4:35" ht="24" customHeight="1" x14ac:dyDescent="0.3">
      <c r="O419" s="9" cm="1">
        <f t="array" aca="1" ref="O419:O424" ca="1">_xlfn.LET(_xlpm.z,O412:O417,EXP(_xlpm.z)/SUM(EXP(_xlpm.z)))</f>
        <v>0.31655978117284189</v>
      </c>
      <c r="P419" s="10" cm="1">
        <f t="array" aca="1" ref="P419:P424" ca="1">_xlfn.LET(_xlpm.z,P412:P417,EXP(_xlpm.z)/SUM(EXP(_xlpm.z)))</f>
        <v>6.9826277006370587E-3</v>
      </c>
      <c r="Q419" s="10" cm="1">
        <f t="array" aca="1" ref="Q419:Q424" ca="1">_xlfn.LET(_xlpm.z,Q412:Q417,EXP(_xlpm.z)/SUM(EXP(_xlpm.z)))</f>
        <v>2.037893202474441E-2</v>
      </c>
      <c r="R419" s="10" cm="1">
        <f t="array" aca="1" ref="R419:R424" ca="1">_xlfn.LET(_xlpm.z,R412:R417,EXP(_xlpm.z)/SUM(EXP(_xlpm.z)))</f>
        <v>2.1907508158960164E-2</v>
      </c>
      <c r="S419" s="10" cm="1">
        <f t="array" aca="1" ref="S419:S424" ca="1">_xlfn.LET(_xlpm.z,S412:S417,EXP(_xlpm.z)/SUM(EXP(_xlpm.z)))</f>
        <v>1.6814553646853761E-2</v>
      </c>
      <c r="T419" s="11" cm="1">
        <f t="array" aca="1" ref="T419:T424" ca="1">_xlfn.LET(_xlpm.z,T412:T417,EXP(_xlpm.z)/SUM(EXP(_xlpm.z)))</f>
        <v>8.2594072933704243E-2</v>
      </c>
      <c r="W419" s="9" cm="1">
        <f t="array" aca="1" ref="W419:W424" ca="1">_xlfn.LET(_xlpm.z,W412:W417,EXP(_xlpm.z)/SUM(EXP(_xlpm.z)))</f>
        <v>0.31655978117284184</v>
      </c>
      <c r="X419" s="10" cm="1">
        <f t="array" aca="1" ref="X419:X424" ca="1">_xlfn.LET(_xlpm.z,X412:X417,EXP(_xlpm.z)/SUM(EXP(_xlpm.z)))</f>
        <v>6.9826277006370587E-3</v>
      </c>
      <c r="Y419" s="10" cm="1">
        <f t="array" aca="1" ref="Y419:Y424" ca="1">_xlfn.LET(_xlpm.z,Y412:Y417,EXP(_xlpm.z)/SUM(EXP(_xlpm.z)))</f>
        <v>2.037893202474441E-2</v>
      </c>
      <c r="Z419" s="10" cm="1">
        <f t="array" aca="1" ref="Z419:Z424" ca="1">_xlfn.LET(_xlpm.z,Z412:Z417,EXP(_xlpm.z)/SUM(EXP(_xlpm.z)))</f>
        <v>2.1907508158960164E-2</v>
      </c>
      <c r="AA419" s="10" cm="1">
        <f t="array" aca="1" ref="AA419:AA424" ca="1">_xlfn.LET(_xlpm.z,AA412:AA417,EXP(_xlpm.z)/SUM(EXP(_xlpm.z)))</f>
        <v>1.6814553646853761E-2</v>
      </c>
      <c r="AB419" s="11" cm="1">
        <f t="array" aca="1" ref="AB419:AB424" ca="1">_xlfn.LET(_xlpm.z,AB412:AB417,EXP(_xlpm.z)/SUM(EXP(_xlpm.z)))</f>
        <v>8.2594072933704202E-2</v>
      </c>
      <c r="AD419" s="9" cm="1">
        <f t="array" aca="1" ref="AD419:AI421" ca="1">MMULT(_xlfn.ANCHORARRAY(AG361),W419:AB424)</f>
        <v>0.13729135856840205</v>
      </c>
      <c r="AE419" s="10">
        <f ca="1"/>
        <v>0.23967665141934344</v>
      </c>
      <c r="AF419" s="10">
        <f ca="1"/>
        <v>0.4721492243818412</v>
      </c>
      <c r="AG419" s="10">
        <f ca="1"/>
        <v>0.22469371328806051</v>
      </c>
      <c r="AH419" s="10">
        <f ca="1"/>
        <v>5.1711349763638705E-2</v>
      </c>
      <c r="AI419" s="11">
        <f ca="1"/>
        <v>0.82278910920487391</v>
      </c>
    </row>
    <row r="420" spans="4:35" ht="24" customHeight="1" x14ac:dyDescent="0.3">
      <c r="O420" s="12">
        <f ca="1"/>
        <v>5.9006583098395191E-3</v>
      </c>
      <c r="P420" s="13">
        <f ca="1"/>
        <v>2.06354419367402E-2</v>
      </c>
      <c r="Q420" s="13">
        <f ca="1"/>
        <v>1.977372621379633E-2</v>
      </c>
      <c r="R420" s="13">
        <f ca="1"/>
        <v>2.8751883546304709E-2</v>
      </c>
      <c r="S420" s="13">
        <f ca="1"/>
        <v>5.5494355091196181E-3</v>
      </c>
      <c r="T420" s="14">
        <f ca="1"/>
        <v>0.76305458056732989</v>
      </c>
      <c r="W420" s="12">
        <f ca="1"/>
        <v>5.9006583098395139E-3</v>
      </c>
      <c r="X420" s="13">
        <f ca="1"/>
        <v>2.06354419367402E-2</v>
      </c>
      <c r="Y420" s="13">
        <f ca="1"/>
        <v>1.977372621379633E-2</v>
      </c>
      <c r="Z420" s="13">
        <f ca="1"/>
        <v>2.8751883546304719E-2</v>
      </c>
      <c r="AA420" s="13">
        <f ca="1"/>
        <v>5.5494355091196155E-3</v>
      </c>
      <c r="AB420" s="14">
        <f ca="1"/>
        <v>0.76305458056732989</v>
      </c>
      <c r="AD420" s="12">
        <f ca="1"/>
        <v>-7.6878881864336848E-2</v>
      </c>
      <c r="AE420" s="13">
        <f ca="1"/>
        <v>-0.48833033953006527</v>
      </c>
      <c r="AF420" s="13">
        <f ca="1"/>
        <v>-0.74972861062378782</v>
      </c>
      <c r="AG420" s="13">
        <f ca="1"/>
        <v>-0.52917663681043037</v>
      </c>
      <c r="AH420" s="13">
        <f ca="1"/>
        <v>-0.95608991092184381</v>
      </c>
      <c r="AI420" s="14">
        <f ca="1"/>
        <v>1.9246007313508546</v>
      </c>
    </row>
    <row r="421" spans="4:35" ht="24" customHeight="1" x14ac:dyDescent="0.3">
      <c r="O421" s="12">
        <f ca="1"/>
        <v>0.20897772808884493</v>
      </c>
      <c r="P421" s="13">
        <f ca="1"/>
        <v>8.3640239047729881E-2</v>
      </c>
      <c r="Q421" s="13">
        <f ca="1"/>
        <v>2.7503464904451297E-2</v>
      </c>
      <c r="R421" s="13">
        <f ca="1"/>
        <v>9.0753080370277989E-2</v>
      </c>
      <c r="S421" s="13">
        <f ca="1"/>
        <v>1.6170247779330769E-2</v>
      </c>
      <c r="T421" s="14">
        <f ca="1"/>
        <v>0.13072449628773397</v>
      </c>
      <c r="W421" s="12">
        <f ca="1"/>
        <v>0.20897772808884499</v>
      </c>
      <c r="X421" s="13">
        <f ca="1"/>
        <v>8.3640239047729895E-2</v>
      </c>
      <c r="Y421" s="13">
        <f ca="1"/>
        <v>2.7503464904451297E-2</v>
      </c>
      <c r="Z421" s="13">
        <f ca="1"/>
        <v>9.0753080370277989E-2</v>
      </c>
      <c r="AA421" s="13">
        <f ca="1"/>
        <v>1.6170247779330769E-2</v>
      </c>
      <c r="AB421" s="14">
        <f ca="1"/>
        <v>0.13072449628773394</v>
      </c>
      <c r="AD421" s="15">
        <f ca="1"/>
        <v>-0.25483305499858172</v>
      </c>
      <c r="AE421" s="16">
        <f ca="1"/>
        <v>-0.57601167565088707</v>
      </c>
      <c r="AF421" s="16">
        <f ca="1"/>
        <v>-0.30665125224062872</v>
      </c>
      <c r="AG421" s="16">
        <f ca="1"/>
        <v>-0.49819836966731401</v>
      </c>
      <c r="AH421" s="16">
        <f ca="1"/>
        <v>-0.43976151974747973</v>
      </c>
      <c r="AI421" s="17">
        <f ca="1"/>
        <v>0.68978406097218758</v>
      </c>
    </row>
    <row r="422" spans="4:35" ht="24" customHeight="1" x14ac:dyDescent="0.3">
      <c r="O422" s="12">
        <f ca="1"/>
        <v>6.6858669365366307E-3</v>
      </c>
      <c r="P422" s="13">
        <f ca="1"/>
        <v>0.22612009064943087</v>
      </c>
      <c r="Q422" s="13">
        <f ca="1"/>
        <v>0.78161150057954565</v>
      </c>
      <c r="R422" s="13">
        <f ca="1"/>
        <v>0.25339143182825463</v>
      </c>
      <c r="S422" s="13">
        <f ca="1"/>
        <v>0.18539262891851399</v>
      </c>
      <c r="T422" s="14">
        <f ca="1"/>
        <v>1.3442696079687092E-3</v>
      </c>
      <c r="W422" s="12">
        <f ca="1"/>
        <v>6.6858669365366299E-3</v>
      </c>
      <c r="X422" s="13">
        <f ca="1"/>
        <v>0.22612009064943087</v>
      </c>
      <c r="Y422" s="13">
        <f ca="1"/>
        <v>0.78161150057954565</v>
      </c>
      <c r="Z422" s="13">
        <f ca="1"/>
        <v>0.25339143182825463</v>
      </c>
      <c r="AA422" s="13">
        <f ca="1"/>
        <v>0.18539262891851399</v>
      </c>
      <c r="AB422" s="14">
        <f ca="1"/>
        <v>1.3442696079687085E-3</v>
      </c>
    </row>
    <row r="423" spans="4:35" ht="24" customHeight="1" x14ac:dyDescent="0.3">
      <c r="O423" s="12">
        <f ca="1"/>
        <v>0.19414714231479216</v>
      </c>
      <c r="P423" s="13">
        <f ca="1"/>
        <v>0.28060752690166924</v>
      </c>
      <c r="Q423" s="13">
        <f ca="1"/>
        <v>0.12014913821935574</v>
      </c>
      <c r="R423" s="13">
        <f ca="1"/>
        <v>0.32394005673119985</v>
      </c>
      <c r="S423" s="13">
        <f ca="1"/>
        <v>0.63910399421544195</v>
      </c>
      <c r="T423" s="14">
        <f ca="1"/>
        <v>1.1520049678272134E-3</v>
      </c>
      <c r="W423" s="12">
        <f ca="1"/>
        <v>0.19414714231479216</v>
      </c>
      <c r="X423" s="13">
        <f ca="1"/>
        <v>0.28060752690166924</v>
      </c>
      <c r="Y423" s="13">
        <f ca="1"/>
        <v>0.12014913821935574</v>
      </c>
      <c r="Z423" s="13">
        <f ca="1"/>
        <v>0.3239400567311998</v>
      </c>
      <c r="AA423" s="13">
        <f ca="1"/>
        <v>0.63910399421544195</v>
      </c>
      <c r="AB423" s="14">
        <f ca="1"/>
        <v>1.152004967827213E-3</v>
      </c>
    </row>
    <row r="424" spans="4:35" ht="24" customHeight="1" x14ac:dyDescent="0.3">
      <c r="O424" s="15">
        <f ca="1"/>
        <v>0.2677288231771448</v>
      </c>
      <c r="P424" s="16">
        <f ca="1"/>
        <v>0.38201407376379271</v>
      </c>
      <c r="Q424" s="16">
        <f ca="1"/>
        <v>3.0583238058106619E-2</v>
      </c>
      <c r="R424" s="16">
        <f ca="1"/>
        <v>0.28125603936500271</v>
      </c>
      <c r="S424" s="16">
        <f ca="1"/>
        <v>0.13696913993073992</v>
      </c>
      <c r="T424" s="17">
        <f ca="1"/>
        <v>2.1130575635435998E-2</v>
      </c>
      <c r="W424" s="15">
        <f ca="1"/>
        <v>0.26772882317714486</v>
      </c>
      <c r="X424" s="16">
        <f ca="1"/>
        <v>0.38201407376379271</v>
      </c>
      <c r="Y424" s="16">
        <f ca="1"/>
        <v>3.0583238058106626E-2</v>
      </c>
      <c r="Z424" s="16">
        <f ca="1"/>
        <v>0.28125603936500271</v>
      </c>
      <c r="AA424" s="16">
        <f ca="1"/>
        <v>0.13696913993073992</v>
      </c>
      <c r="AB424" s="17">
        <f ca="1"/>
        <v>2.1130575635435991E-2</v>
      </c>
    </row>
    <row r="425" spans="4:35" ht="24" customHeight="1" x14ac:dyDescent="0.3">
      <c r="O425" s="1" t="s">
        <v>116</v>
      </c>
      <c r="W425" s="1" t="s">
        <v>124</v>
      </c>
    </row>
    <row r="426" spans="4:35" ht="24" customHeight="1" x14ac:dyDescent="0.3">
      <c r="O426" s="9" cm="1">
        <f t="array" aca="1" ref="O426:T428" ca="1">MMULT(_xlfn.ANCHORARRAY(O385),O419:T424)</f>
        <v>1.9126836673916819E-2</v>
      </c>
      <c r="P426" s="10">
        <f ca="1"/>
        <v>7.0524414887104023E-2</v>
      </c>
      <c r="Q426" s="10">
        <f ca="1"/>
        <v>-0.10006557887595531</v>
      </c>
      <c r="R426" s="10">
        <f ca="1"/>
        <v>5.3866821344146838E-2</v>
      </c>
      <c r="S426" s="10">
        <f ca="1"/>
        <v>0.10455389334591532</v>
      </c>
      <c r="T426" s="11">
        <f ca="1"/>
        <v>-0.52119147602010596</v>
      </c>
      <c r="W426" s="9" cm="1">
        <f t="array" aca="1" ref="W426:AB428" ca="1">MMULT(_xlfn.ANCHORARRAY(W403),_xlfn.ANCHORARRAY(AD419))</f>
        <v>1.9126836673916847E-2</v>
      </c>
      <c r="X426" s="10">
        <f ca="1"/>
        <v>7.0524414887104009E-2</v>
      </c>
      <c r="Y426" s="10">
        <f ca="1"/>
        <v>-0.10006557887595531</v>
      </c>
      <c r="Z426" s="10">
        <f ca="1"/>
        <v>5.3866821344146831E-2</v>
      </c>
      <c r="AA426" s="10">
        <f ca="1"/>
        <v>0.10455389334591531</v>
      </c>
      <c r="AB426" s="11">
        <f ca="1"/>
        <v>-0.52119147602010585</v>
      </c>
    </row>
    <row r="427" spans="4:35" ht="24" customHeight="1" x14ac:dyDescent="0.3">
      <c r="O427" s="12">
        <f ca="1"/>
        <v>-0.10818267920135757</v>
      </c>
      <c r="P427" s="13">
        <f ca="1"/>
        <v>-0.44568092298621959</v>
      </c>
      <c r="Q427" s="13">
        <f ca="1"/>
        <v>-0.74928706965698744</v>
      </c>
      <c r="R427" s="13">
        <f ca="1"/>
        <v>-0.47188225013029866</v>
      </c>
      <c r="S427" s="13">
        <f ca="1"/>
        <v>-0.71312555616972362</v>
      </c>
      <c r="T427" s="14">
        <f ca="1"/>
        <v>1.0366551070478298</v>
      </c>
      <c r="W427" s="12">
        <f ca="1"/>
        <v>-0.10818267920135756</v>
      </c>
      <c r="X427" s="13">
        <f ca="1"/>
        <v>-0.44568092298621964</v>
      </c>
      <c r="Y427" s="13">
        <f ca="1"/>
        <v>-0.74928706965698744</v>
      </c>
      <c r="Z427" s="13">
        <f ca="1"/>
        <v>-0.47188225013029861</v>
      </c>
      <c r="AA427" s="13">
        <f ca="1"/>
        <v>-0.71312555616972384</v>
      </c>
      <c r="AB427" s="14">
        <f ca="1"/>
        <v>1.0366551070478296</v>
      </c>
    </row>
    <row r="428" spans="4:35" ht="24" customHeight="1" x14ac:dyDescent="0.3">
      <c r="O428" s="15">
        <f ca="1"/>
        <v>-0.10437748755729336</v>
      </c>
      <c r="P428" s="16">
        <f ca="1"/>
        <v>-0.35280457469671389</v>
      </c>
      <c r="Q428" s="16">
        <f ca="1"/>
        <v>-0.32785544840062641</v>
      </c>
      <c r="R428" s="16">
        <f ca="1"/>
        <v>-0.34101339828457145</v>
      </c>
      <c r="S428" s="16">
        <f ca="1"/>
        <v>-0.48609296884097963</v>
      </c>
      <c r="T428" s="17">
        <f ca="1"/>
        <v>0.99493322790418326</v>
      </c>
      <c r="W428" s="15">
        <f ca="1"/>
        <v>-0.1043774875572934</v>
      </c>
      <c r="X428" s="16">
        <f ca="1"/>
        <v>-0.35280457469671389</v>
      </c>
      <c r="Y428" s="16">
        <f ca="1"/>
        <v>-0.32785544840062641</v>
      </c>
      <c r="Z428" s="16">
        <f ca="1"/>
        <v>-0.34101339828457145</v>
      </c>
      <c r="AA428" s="16">
        <f ca="1"/>
        <v>-0.48609296884097974</v>
      </c>
      <c r="AB428" s="17">
        <f ca="1"/>
        <v>0.99493322790418348</v>
      </c>
    </row>
    <row r="431" spans="4:35" ht="24" customHeight="1" x14ac:dyDescent="0.3">
      <c r="D431" s="1" t="s">
        <v>125</v>
      </c>
    </row>
    <row r="432" spans="4:35" ht="24" customHeight="1" x14ac:dyDescent="0.3">
      <c r="D432" s="1" t="s">
        <v>126</v>
      </c>
    </row>
    <row r="435" spans="4:17" ht="24" customHeight="1" x14ac:dyDescent="0.3">
      <c r="D435" s="3" t="s">
        <v>127</v>
      </c>
    </row>
    <row r="436" spans="4:17" ht="24" customHeight="1" x14ac:dyDescent="0.3">
      <c r="N436" s="7" t="s">
        <v>59</v>
      </c>
      <c r="O436" s="25">
        <f>F347*(F348+F350+F349)</f>
        <v>16</v>
      </c>
    </row>
    <row r="437" spans="4:17" ht="24" customHeight="1" x14ac:dyDescent="0.3">
      <c r="N437" s="7" t="s">
        <v>128</v>
      </c>
      <c r="O437" s="26">
        <f>F348+F350+F349</f>
        <v>8</v>
      </c>
    </row>
    <row r="438" spans="4:17" ht="24" customHeight="1" x14ac:dyDescent="0.3">
      <c r="N438" s="7" t="s">
        <v>129</v>
      </c>
      <c r="O438" s="27">
        <f>F346+F349</f>
        <v>5</v>
      </c>
    </row>
    <row r="440" spans="4:17" ht="24" customHeight="1" x14ac:dyDescent="0.3">
      <c r="N440" s="7" t="s">
        <v>130</v>
      </c>
      <c r="O440" s="23">
        <f>O436/O438</f>
        <v>3.2</v>
      </c>
      <c r="Q440" s="1" t="s">
        <v>131</v>
      </c>
    </row>
    <row r="455" spans="1:131" ht="48" customHeight="1" thickBot="1" x14ac:dyDescent="0.95">
      <c r="A455" s="5" t="s">
        <v>132</v>
      </c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  <c r="DK455" s="6"/>
      <c r="DL455" s="6"/>
      <c r="DM455" s="6"/>
      <c r="DN455" s="6"/>
      <c r="DO455" s="6"/>
      <c r="DP455" s="6"/>
      <c r="DQ455" s="6"/>
      <c r="DR455" s="6"/>
      <c r="DS455" s="6"/>
      <c r="DT455" s="6"/>
      <c r="DU455" s="6"/>
      <c r="DV455" s="6"/>
      <c r="DW455" s="6"/>
      <c r="DX455" s="6"/>
      <c r="DY455" s="6"/>
      <c r="DZ455" s="6"/>
      <c r="EA455" s="6"/>
    </row>
    <row r="456" spans="1:131" ht="24" customHeight="1" thickTop="1" x14ac:dyDescent="0.3"/>
    <row r="458" spans="1:131" ht="24" customHeight="1" x14ac:dyDescent="0.3">
      <c r="E458" s="7" t="s">
        <v>4</v>
      </c>
      <c r="F458" s="8">
        <v>6</v>
      </c>
      <c r="N458" s="7" t="s">
        <v>8</v>
      </c>
      <c r="O458" s="8" cm="1">
        <f t="array" ref="O458:T458">_xlfn.SEQUENCE(1,F458,1)</f>
        <v>1</v>
      </c>
      <c r="P458" s="8">
        <v>2</v>
      </c>
      <c r="Q458" s="8">
        <v>3</v>
      </c>
      <c r="R458" s="8">
        <v>4</v>
      </c>
      <c r="S458" s="8">
        <v>5</v>
      </c>
      <c r="T458" s="8">
        <v>6</v>
      </c>
    </row>
    <row r="459" spans="1:131" ht="24" customHeight="1" x14ac:dyDescent="0.3">
      <c r="E459" s="7" t="s">
        <v>5</v>
      </c>
      <c r="F459" s="8">
        <v>8</v>
      </c>
    </row>
    <row r="460" spans="1:131" ht="24" customHeight="1" x14ac:dyDescent="0.3">
      <c r="E460" s="7" t="s">
        <v>133</v>
      </c>
      <c r="F460" s="8">
        <v>6</v>
      </c>
      <c r="O460" s="8" t="str" cm="1">
        <f t="array" ref="O460:T460">"x"&amp;_xlfn.ANCHORARRAY(O458)</f>
        <v>x1</v>
      </c>
      <c r="P460" s="8" t="str">
        <v>x2</v>
      </c>
      <c r="Q460" s="8" t="str">
        <v>x3</v>
      </c>
      <c r="R460" s="8" t="str">
        <v>x4</v>
      </c>
      <c r="S460" s="8" t="str">
        <v>x5</v>
      </c>
      <c r="T460" s="8" t="str">
        <v>x6</v>
      </c>
    </row>
    <row r="461" spans="1:131" ht="24" customHeight="1" x14ac:dyDescent="0.3">
      <c r="E461" s="7" t="s">
        <v>134</v>
      </c>
      <c r="F461" s="8">
        <v>8</v>
      </c>
      <c r="N461" s="7" t="s">
        <v>9</v>
      </c>
      <c r="O461" s="9" cm="1">
        <f t="array" aca="1" ref="O461:T468" ca="1">(_xlfn.RANDARRAY(F459,F458)-0.5)*2</f>
        <v>0.40327313438527979</v>
      </c>
      <c r="P461" s="10">
        <f ca="1"/>
        <v>-0.24161997430948734</v>
      </c>
      <c r="Q461" s="10">
        <f ca="1"/>
        <v>-0.46960350827666408</v>
      </c>
      <c r="R461" s="10">
        <f ca="1"/>
        <v>0.88204000190062182</v>
      </c>
      <c r="S461" s="10">
        <f ca="1"/>
        <v>-3.3357025631203907E-2</v>
      </c>
      <c r="T461" s="11">
        <f ca="1"/>
        <v>-0.66021604413415202</v>
      </c>
    </row>
    <row r="462" spans="1:131" ht="24" customHeight="1" x14ac:dyDescent="0.3">
      <c r="E462" s="7" t="s">
        <v>135</v>
      </c>
      <c r="F462" s="8">
        <v>1</v>
      </c>
      <c r="O462" s="12">
        <f ca="1"/>
        <v>8.6667342574131112E-2</v>
      </c>
      <c r="P462" s="13">
        <f ca="1"/>
        <v>0.81403021154572164</v>
      </c>
      <c r="Q462" s="13">
        <f ca="1"/>
        <v>0.93116480266750656</v>
      </c>
      <c r="R462" s="13">
        <f ca="1"/>
        <v>0.83125598515102705</v>
      </c>
      <c r="S462" s="13">
        <f ca="1"/>
        <v>-0.81716091333986141</v>
      </c>
      <c r="T462" s="14">
        <f ca="1"/>
        <v>-0.41871681815896622</v>
      </c>
    </row>
    <row r="463" spans="1:131" ht="24" customHeight="1" x14ac:dyDescent="0.3">
      <c r="O463" s="12">
        <f ca="1"/>
        <v>-7.3557382810189864E-3</v>
      </c>
      <c r="P463" s="13">
        <f ca="1"/>
        <v>-0.55279814954239681</v>
      </c>
      <c r="Q463" s="13">
        <f ca="1"/>
        <v>0.34598994306969555</v>
      </c>
      <c r="R463" s="13">
        <f ca="1"/>
        <v>0.58922841769024092</v>
      </c>
      <c r="S463" s="13">
        <f ca="1"/>
        <v>-0.96776652573430555</v>
      </c>
      <c r="T463" s="14">
        <f ca="1"/>
        <v>0.45923783450740885</v>
      </c>
    </row>
    <row r="464" spans="1:131" ht="24" customHeight="1" x14ac:dyDescent="0.3">
      <c r="O464" s="12">
        <f ca="1"/>
        <v>-0.34838884688425553</v>
      </c>
      <c r="P464" s="13">
        <f ca="1"/>
        <v>-0.47632609791329017</v>
      </c>
      <c r="Q464" s="13">
        <f ca="1"/>
        <v>-0.14658742989788021</v>
      </c>
      <c r="R464" s="13">
        <f ca="1"/>
        <v>0.21773366679202466</v>
      </c>
      <c r="S464" s="13">
        <f ca="1"/>
        <v>0.20710147590946892</v>
      </c>
      <c r="T464" s="14">
        <f ca="1"/>
        <v>0.76598761279391914</v>
      </c>
    </row>
    <row r="465" spans="4:38" ht="24" customHeight="1" x14ac:dyDescent="0.3">
      <c r="O465" s="12">
        <f ca="1"/>
        <v>-0.35110848022692176</v>
      </c>
      <c r="P465" s="13">
        <f ca="1"/>
        <v>0.18074175891233546</v>
      </c>
      <c r="Q465" s="13">
        <f ca="1"/>
        <v>-0.3474721974410464</v>
      </c>
      <c r="R465" s="13">
        <f ca="1"/>
        <v>-0.18985414272139067</v>
      </c>
      <c r="S465" s="13">
        <f ca="1"/>
        <v>0.56657359278241248</v>
      </c>
      <c r="T465" s="14">
        <f ca="1"/>
        <v>-0.90465470228886069</v>
      </c>
    </row>
    <row r="466" spans="4:38" ht="24" customHeight="1" x14ac:dyDescent="0.3">
      <c r="O466" s="12">
        <f ca="1"/>
        <v>-0.12180483676438092</v>
      </c>
      <c r="P466" s="13">
        <f ca="1"/>
        <v>-3.3931713593075674E-2</v>
      </c>
      <c r="Q466" s="13">
        <f ca="1"/>
        <v>4.0052422472809823E-2</v>
      </c>
      <c r="R466" s="13">
        <f ca="1"/>
        <v>0.91189708025140304</v>
      </c>
      <c r="S466" s="13">
        <f ca="1"/>
        <v>0.11893388097843127</v>
      </c>
      <c r="T466" s="14">
        <f ca="1"/>
        <v>-0.83415677547825418</v>
      </c>
    </row>
    <row r="467" spans="4:38" ht="24" customHeight="1" x14ac:dyDescent="0.3">
      <c r="O467" s="12">
        <f ca="1"/>
        <v>0.23339621924230691</v>
      </c>
      <c r="P467" s="13">
        <f ca="1"/>
        <v>0.48453207406848708</v>
      </c>
      <c r="Q467" s="13">
        <f ca="1"/>
        <v>0.62070924551179507</v>
      </c>
      <c r="R467" s="13">
        <f ca="1"/>
        <v>-0.2348883740854828</v>
      </c>
      <c r="S467" s="13">
        <f ca="1"/>
        <v>-0.64343228575196232</v>
      </c>
      <c r="T467" s="14">
        <f ca="1"/>
        <v>0.27797778757563352</v>
      </c>
    </row>
    <row r="468" spans="4:38" ht="24" customHeight="1" x14ac:dyDescent="0.3">
      <c r="O468" s="15">
        <f ca="1"/>
        <v>-0.2648193626158668</v>
      </c>
      <c r="P468" s="16">
        <f ca="1"/>
        <v>-0.47317025682337777</v>
      </c>
      <c r="Q468" s="16">
        <f ca="1"/>
        <v>0.57442621647634917</v>
      </c>
      <c r="R468" s="16">
        <f ca="1"/>
        <v>0.86498811306303214</v>
      </c>
      <c r="S468" s="16">
        <f ca="1"/>
        <v>7.3273760159980217E-2</v>
      </c>
      <c r="T468" s="17">
        <f ca="1"/>
        <v>0.88397433667740133</v>
      </c>
    </row>
    <row r="470" spans="4:38" ht="24" customHeight="1" x14ac:dyDescent="0.3">
      <c r="D470" s="3" t="s">
        <v>136</v>
      </c>
      <c r="O470" s="1" t="s">
        <v>138</v>
      </c>
      <c r="V470" s="3" t="s">
        <v>144</v>
      </c>
      <c r="AG470" s="1" t="s">
        <v>146</v>
      </c>
    </row>
    <row r="471" spans="4:38" ht="24" customHeight="1" x14ac:dyDescent="0.3">
      <c r="D471" s="7" t="s">
        <v>137</v>
      </c>
      <c r="E471" s="18" cm="1">
        <f t="array" aca="1" ref="E471:L476" ca="1">(_xlfn.RANDARRAY(F460,F459)-0.5)*2</f>
        <v>1.2485661456790087E-2</v>
      </c>
      <c r="F471" s="18">
        <f ca="1"/>
        <v>-0.78388420220933819</v>
      </c>
      <c r="G471" s="18">
        <f ca="1"/>
        <v>0.57448207207953539</v>
      </c>
      <c r="H471" s="18">
        <f ca="1"/>
        <v>-9.5539924730549508E-2</v>
      </c>
      <c r="I471" s="18">
        <f ca="1"/>
        <v>-0.99007689172903346</v>
      </c>
      <c r="J471" s="18">
        <f ca="1"/>
        <v>-0.60913927326598083</v>
      </c>
      <c r="K471" s="18">
        <f ca="1"/>
        <v>-0.53080369890898504</v>
      </c>
      <c r="L471" s="18">
        <f ca="1"/>
        <v>0.95955772307045084</v>
      </c>
      <c r="O471" s="9" cm="1">
        <f t="array" aca="1" ref="O471:T476" ca="1">MMULT(_xlfn.ANCHORARRAY(E471),_xlfn.ANCHORARRAY(O461))/(1+EXP(-MMULT(_xlfn.ANCHORARRAY(E471),_xlfn.ANCHORARRAY(O461))))</f>
        <v>5.0152720639809103E-3</v>
      </c>
      <c r="P471" s="10">
        <f ca="1"/>
        <v>-0.2566560778520488</v>
      </c>
      <c r="Q471" s="10">
        <f ca="1"/>
        <v>9.248140048355195E-3</v>
      </c>
      <c r="R471" s="10">
        <f ca="1"/>
        <v>0.14950436869160677</v>
      </c>
      <c r="S471" s="10">
        <f ca="1"/>
        <v>-7.2417866834583539E-2</v>
      </c>
      <c r="T471" s="11">
        <f ca="1"/>
        <v>2.4368121301549523</v>
      </c>
      <c r="V471" s="7" t="s">
        <v>145</v>
      </c>
      <c r="W471" s="18" cm="1">
        <f t="array" aca="1" ref="W471:AD478" ca="1">(_xlfn.RANDARRAY(F461,F459)-0.5)*2</f>
        <v>7.6862184428647673E-3</v>
      </c>
      <c r="X471" s="18">
        <f ca="1"/>
        <v>0.42702645983231946</v>
      </c>
      <c r="Y471" s="18">
        <f ca="1"/>
        <v>-0.26353696946372906</v>
      </c>
      <c r="Z471" s="18">
        <f ca="1"/>
        <v>-0.13151310436750263</v>
      </c>
      <c r="AA471" s="18">
        <f ca="1"/>
        <v>-0.74975131272493956</v>
      </c>
      <c r="AB471" s="18">
        <f ca="1"/>
        <v>-6.1423680140659798E-2</v>
      </c>
      <c r="AC471" s="18">
        <f ca="1"/>
        <v>-0.907275927810685</v>
      </c>
      <c r="AD471" s="18">
        <f ca="1"/>
        <v>-0.33188082873887303</v>
      </c>
      <c r="AG471" s="9" cm="1">
        <f t="array" aca="1" ref="AG471:AL478" ca="1">MMULT(_xlfn.ANCHORARRAY(W471),_xlfn.ANCHORARRAY(O461))</f>
        <v>0.23472454510351884</v>
      </c>
      <c r="AH471" s="10">
        <f ca="1"/>
        <v>0.13808585804185119</v>
      </c>
      <c r="AI471" s="10">
        <f ca="1"/>
        <v>-0.17361847545285089</v>
      </c>
      <c r="AJ471" s="10">
        <f ca="1"/>
        <v>0.19019646458907358</v>
      </c>
      <c r="AK471" s="10">
        <f ca="1"/>
        <v>5.9577941872916811E-3</v>
      </c>
      <c r="AL471" s="11">
        <f ca="1"/>
        <v>-0.22171494230595734</v>
      </c>
    </row>
    <row r="472" spans="4:38" ht="24" customHeight="1" x14ac:dyDescent="0.3">
      <c r="E472" s="18">
        <f ca="1"/>
        <v>-0.77115421604697554</v>
      </c>
      <c r="F472" s="18">
        <f ca="1"/>
        <v>0.65573844238249146</v>
      </c>
      <c r="G472" s="18">
        <f ca="1"/>
        <v>0.99155126914963843</v>
      </c>
      <c r="H472" s="18">
        <f ca="1"/>
        <v>-0.75814622141382237</v>
      </c>
      <c r="I472" s="18">
        <f ca="1"/>
        <v>0.7564491918327616</v>
      </c>
      <c r="J472" s="18">
        <f ca="1"/>
        <v>0.76912791518416945</v>
      </c>
      <c r="K472" s="18">
        <f ca="1"/>
        <v>0.29993997415665641</v>
      </c>
      <c r="L472" s="18">
        <f ca="1"/>
        <v>-0.49624849445115737</v>
      </c>
      <c r="O472" s="12">
        <f ca="1"/>
        <v>-7.1580463096681757E-2</v>
      </c>
      <c r="P472" s="13">
        <f ca="1"/>
        <v>0.75329591451987554</v>
      </c>
      <c r="Q472" s="13">
        <f ca="1"/>
        <v>0.82147858538197516</v>
      </c>
      <c r="R472" s="13">
        <f ca="1"/>
        <v>0.20004134480882715</v>
      </c>
      <c r="S472" s="13">
        <f ca="1"/>
        <v>-0.27811307686924791</v>
      </c>
      <c r="T472" s="14">
        <f ca="1"/>
        <v>-0.27027595096046414</v>
      </c>
      <c r="W472" s="18">
        <f ca="1"/>
        <v>-0.40330887393383152</v>
      </c>
      <c r="X472" s="18">
        <f ca="1"/>
        <v>-4.4492237041571236E-3</v>
      </c>
      <c r="Y472" s="18">
        <f ca="1"/>
        <v>4.1902254968884112E-2</v>
      </c>
      <c r="Z472" s="18">
        <f ca="1"/>
        <v>0.26393818320882589</v>
      </c>
      <c r="AA472" s="18">
        <f ca="1"/>
        <v>0.81338618962825171</v>
      </c>
      <c r="AB472" s="18">
        <f ca="1"/>
        <v>-0.81146382838683007</v>
      </c>
      <c r="AC472" s="18">
        <f ca="1"/>
        <v>0.20690736862116754</v>
      </c>
      <c r="AD472" s="18">
        <f ca="1"/>
        <v>0.10415399001859571</v>
      </c>
      <c r="AG472" s="12">
        <f ca="1"/>
        <v>-0.42132774283158875</v>
      </c>
      <c r="AH472" s="13">
        <f ca="1"/>
        <v>0.17045943839509953</v>
      </c>
      <c r="AI472" s="13">
        <f ca="1"/>
        <v>3.4187960819303344E-2</v>
      </c>
      <c r="AJ472" s="13">
        <f ca="1"/>
        <v>-1.1301791816114661</v>
      </c>
      <c r="AK472" s="13">
        <f ca="1"/>
        <v>0.27003277047768653</v>
      </c>
      <c r="AL472" s="14">
        <f ca="1"/>
        <v>0.5801899499014378</v>
      </c>
    </row>
    <row r="473" spans="4:38" ht="24" customHeight="1" x14ac:dyDescent="0.3">
      <c r="E473" s="18">
        <f ca="1"/>
        <v>-0.74942148953147703</v>
      </c>
      <c r="F473" s="18">
        <f ca="1"/>
        <v>0.84267229744168715</v>
      </c>
      <c r="G473" s="18">
        <f ca="1"/>
        <v>-0.63712107145021113</v>
      </c>
      <c r="H473" s="18">
        <f ca="1"/>
        <v>-0.68200604806628862</v>
      </c>
      <c r="I473" s="18">
        <f ca="1"/>
        <v>-0.40816273774741729</v>
      </c>
      <c r="J473" s="18">
        <f ca="1"/>
        <v>2.113264237434187E-3</v>
      </c>
      <c r="K473" s="18">
        <f ca="1"/>
        <v>-0.11656463803589512</v>
      </c>
      <c r="L473" s="18">
        <f ca="1"/>
        <v>0.58172284692106002</v>
      </c>
      <c r="O473" s="12">
        <f ca="1"/>
        <v>-1.2394852594872044E-2</v>
      </c>
      <c r="P473" s="13">
        <f ca="1"/>
        <v>0.86231961029607962</v>
      </c>
      <c r="Q473" s="13">
        <f ca="1"/>
        <v>1.1434240222906427</v>
      </c>
      <c r="R473" s="13">
        <f ca="1"/>
        <v>6.6700761297337638E-2</v>
      </c>
      <c r="S473" s="13">
        <f ca="1"/>
        <v>-0.12824312684410144</v>
      </c>
      <c r="T473" s="14">
        <f ca="1"/>
        <v>9.5870960166483443E-2</v>
      </c>
      <c r="W473" s="18">
        <f ca="1"/>
        <v>-0.1029508725109447</v>
      </c>
      <c r="X473" s="18">
        <f ca="1"/>
        <v>0.29261189893485628</v>
      </c>
      <c r="Y473" s="18">
        <f ca="1"/>
        <v>0.50604106338474564</v>
      </c>
      <c r="Z473" s="18">
        <f ca="1"/>
        <v>0.40166287323582628</v>
      </c>
      <c r="AA473" s="18">
        <f ca="1"/>
        <v>0.31786005397915407</v>
      </c>
      <c r="AB473" s="18">
        <f ca="1"/>
        <v>-0.35758399603147462</v>
      </c>
      <c r="AC473" s="18">
        <f ca="1"/>
        <v>0.22311765325756205</v>
      </c>
      <c r="AD473" s="18">
        <f ca="1"/>
        <v>-0.49799154238214705</v>
      </c>
      <c r="AG473" s="12">
        <f ca="1"/>
        <v>-4.3909876876522674E-2</v>
      </c>
      <c r="AH473" s="13">
        <f ca="1"/>
        <v>0.2053353089273347</v>
      </c>
      <c r="AI473" s="13">
        <f ca="1"/>
        <v>0.16468453845213255</v>
      </c>
      <c r="AJ473" s="13">
        <f ca="1"/>
        <v>-0.33153344755011827</v>
      </c>
      <c r="AK473" s="13">
        <f ca="1"/>
        <v>-0.68471005372434046</v>
      </c>
      <c r="AL473" s="14">
        <f ca="1"/>
        <v>0.11804781091397432</v>
      </c>
    </row>
    <row r="474" spans="4:38" ht="24" customHeight="1" x14ac:dyDescent="0.3">
      <c r="E474" s="18">
        <f ca="1"/>
        <v>-0.23272207760068397</v>
      </c>
      <c r="F474" s="18">
        <f ca="1"/>
        <v>-0.33715907768968911</v>
      </c>
      <c r="G474" s="18">
        <f ca="1"/>
        <v>0.76008749892382044</v>
      </c>
      <c r="H474" s="18">
        <f ca="1"/>
        <v>0.95650331461500837</v>
      </c>
      <c r="I474" s="18">
        <f ca="1"/>
        <v>5.4923423343253841E-2</v>
      </c>
      <c r="J474" s="18">
        <f ca="1"/>
        <v>0.30977612997287718</v>
      </c>
      <c r="K474" s="18">
        <f ca="1"/>
        <v>-0.39539671357450112</v>
      </c>
      <c r="L474" s="18">
        <f ca="1"/>
        <v>0.13903798763942143</v>
      </c>
      <c r="O474" s="12">
        <f ca="1"/>
        <v>-0.22255285393439111</v>
      </c>
      <c r="P474" s="13">
        <f ca="1"/>
        <v>-0.27789546273447063</v>
      </c>
      <c r="Q474" s="13">
        <f ca="1"/>
        <v>-0.11100533526000896</v>
      </c>
      <c r="R474" s="13">
        <f ca="1"/>
        <v>0.43171515970495555</v>
      </c>
      <c r="S474" s="13">
        <f ca="1"/>
        <v>4.0704600360135242E-2</v>
      </c>
      <c r="T474" s="14">
        <f ca="1"/>
        <v>0.80759976379646048</v>
      </c>
      <c r="W474" s="18">
        <f ca="1"/>
        <v>0.29857464113219612</v>
      </c>
      <c r="X474" s="18">
        <f ca="1"/>
        <v>-0.98078118400063641</v>
      </c>
      <c r="Y474" s="18">
        <f ca="1"/>
        <v>-0.67303473236188394</v>
      </c>
      <c r="Z474" s="18">
        <f ca="1"/>
        <v>0.8431306676466539</v>
      </c>
      <c r="AA474" s="18">
        <f ca="1"/>
        <v>-0.32748926768759956</v>
      </c>
      <c r="AB474" s="18">
        <f ca="1"/>
        <v>0.89776881357605065</v>
      </c>
      <c r="AC474" s="18">
        <f ca="1"/>
        <v>0.73346761854464804</v>
      </c>
      <c r="AD474" s="18">
        <f ca="1"/>
        <v>7.983102634050887E-2</v>
      </c>
      <c r="AG474" s="12">
        <f ca="1"/>
        <v>-9.7701778344431583E-2</v>
      </c>
      <c r="AH474" s="13">
        <f ca="1"/>
        <v>-0.67211879941800057</v>
      </c>
      <c r="AI474" s="13">
        <f ca="1"/>
        <v>-0.75905782517188958</v>
      </c>
      <c r="AJ474" s="13">
        <f ca="1"/>
        <v>1.2699115640936579E-2</v>
      </c>
      <c r="AK474" s="13">
        <f ca="1"/>
        <v>1.0725917078186984</v>
      </c>
      <c r="AL474" s="14">
        <f ca="1"/>
        <v>0.37213149429593956</v>
      </c>
    </row>
    <row r="475" spans="4:38" ht="24" customHeight="1" x14ac:dyDescent="0.3">
      <c r="E475" s="18">
        <f ca="1"/>
        <v>0.55682288842518135</v>
      </c>
      <c r="F475" s="18">
        <f ca="1"/>
        <v>-2.5531967105085318E-2</v>
      </c>
      <c r="G475" s="18">
        <f ca="1"/>
        <v>-0.48425068458308207</v>
      </c>
      <c r="H475" s="18">
        <f ca="1"/>
        <v>-0.77871386881987625</v>
      </c>
      <c r="I475" s="18">
        <f ca="1"/>
        <v>-7.0669836961942512E-2</v>
      </c>
      <c r="J475" s="18">
        <f ca="1"/>
        <v>0.78248500278021993</v>
      </c>
      <c r="K475" s="18">
        <f ca="1"/>
        <v>-0.49665148302003859</v>
      </c>
      <c r="L475" s="18">
        <f ca="1"/>
        <v>-0.2462615302300315</v>
      </c>
      <c r="O475" s="12">
        <f ca="1"/>
        <v>0.22293117291359621</v>
      </c>
      <c r="P475" s="13">
        <f ca="1"/>
        <v>0.18528339948620667</v>
      </c>
      <c r="Q475" s="13">
        <f ca="1"/>
        <v>-0.23780274905177709</v>
      </c>
      <c r="R475" s="13">
        <f ca="1"/>
        <v>0.42355511217438252</v>
      </c>
      <c r="S475" s="13">
        <f ca="1"/>
        <v>0.43850697333639616</v>
      </c>
      <c r="T475" s="14">
        <f ca="1"/>
        <v>-0.22716430519532882</v>
      </c>
      <c r="W475" s="18">
        <f ca="1"/>
        <v>-0.19170286447317109</v>
      </c>
      <c r="X475" s="18">
        <f ca="1"/>
        <v>-0.68539647776193613</v>
      </c>
      <c r="Y475" s="18">
        <f ca="1"/>
        <v>0.10705707494079997</v>
      </c>
      <c r="Z475" s="18">
        <f ca="1"/>
        <v>5.3237546898753596E-2</v>
      </c>
      <c r="AA475" s="18">
        <f ca="1"/>
        <v>-0.2721262641383424</v>
      </c>
      <c r="AB475" s="18">
        <f ca="1"/>
        <v>0.71562693613080697</v>
      </c>
      <c r="AC475" s="18">
        <f ca="1"/>
        <v>-0.9492486212880924</v>
      </c>
      <c r="AD475" s="18">
        <f ca="1"/>
        <v>0.53849384037748615</v>
      </c>
      <c r="AG475" s="12">
        <f ca="1"/>
        <v>-0.51182057578254103</v>
      </c>
      <c r="AH475" s="13">
        <f ca="1"/>
        <v>-1.3843612843871145</v>
      </c>
      <c r="AI475" s="13">
        <f ca="1"/>
        <v>-0.67561953500946992</v>
      </c>
      <c r="AJ475" s="13">
        <f ca="1"/>
        <v>0.72884380622021183</v>
      </c>
      <c r="AK475" s="13">
        <f ca="1"/>
        <v>1.0550605825306381</v>
      </c>
      <c r="AL475" s="14">
        <f ca="1"/>
        <v>0.36487625063045998</v>
      </c>
    </row>
    <row r="476" spans="4:38" ht="24" customHeight="1" x14ac:dyDescent="0.3">
      <c r="E476" s="18">
        <f ca="1"/>
        <v>-0.18886102322002962</v>
      </c>
      <c r="F476" s="18">
        <f ca="1"/>
        <v>0.90831862532109131</v>
      </c>
      <c r="G476" s="18">
        <f ca="1"/>
        <v>-0.79744314414240325</v>
      </c>
      <c r="H476" s="18">
        <f ca="1"/>
        <v>0.64206136778424039</v>
      </c>
      <c r="I476" s="18">
        <f ca="1"/>
        <v>-0.85175834181703847</v>
      </c>
      <c r="J476" s="18">
        <f ca="1"/>
        <v>0.98741193567149566</v>
      </c>
      <c r="K476" s="18">
        <f ca="1"/>
        <v>0.33823409240271562</v>
      </c>
      <c r="L476" s="18">
        <f ca="1"/>
        <v>0.24894805588595315</v>
      </c>
      <c r="O476" s="15">
        <f ca="1"/>
        <v>-1.1591403491350065E-2</v>
      </c>
      <c r="P476" s="16">
        <f ca="1"/>
        <v>0.53368971156403888</v>
      </c>
      <c r="Q476" s="16">
        <f ca="1"/>
        <v>0.97452395657822866</v>
      </c>
      <c r="R476" s="16">
        <f ca="1"/>
        <v>1.1811157516664068</v>
      </c>
      <c r="S476" s="16">
        <f ca="1"/>
        <v>-0.15922928990891694</v>
      </c>
      <c r="T476" s="17">
        <f ca="1"/>
        <v>6.9745614151434696E-2</v>
      </c>
      <c r="W476" s="18">
        <f ca="1"/>
        <v>0.35592898726168176</v>
      </c>
      <c r="X476" s="18">
        <f ca="1"/>
        <v>0.79235035074411053</v>
      </c>
      <c r="Y476" s="18">
        <f ca="1"/>
        <v>-0.305419675469075</v>
      </c>
      <c r="Z476" s="18">
        <f ca="1"/>
        <v>-0.51409431942139339</v>
      </c>
      <c r="AA476" s="18">
        <f ca="1"/>
        <v>0.23289755155953307</v>
      </c>
      <c r="AB476" s="18">
        <f ca="1"/>
        <v>-0.15367154514900205</v>
      </c>
      <c r="AC476" s="18">
        <f ca="1"/>
        <v>-0.47066732880984707</v>
      </c>
      <c r="AD476" s="18">
        <f ca="1"/>
        <v>0.70731333695702947</v>
      </c>
      <c r="AG476" s="12">
        <f ca="1"/>
        <v>3.3342201897668372E-2</v>
      </c>
      <c r="AH476" s="13">
        <f ca="1"/>
        <v>0.45728514508449042</v>
      </c>
      <c r="AI476" s="13">
        <f ca="1"/>
        <v>0.56742230555138296</v>
      </c>
      <c r="AJ476" s="13">
        <f ca="1"/>
        <v>1.2187146965863946</v>
      </c>
      <c r="AK476" s="13">
        <f ca="1"/>
        <v>-1.8983104476082077E-3</v>
      </c>
      <c r="AL476" s="14">
        <f ca="1"/>
        <v>-0.68890452602884533</v>
      </c>
    </row>
    <row r="477" spans="4:38" ht="24" customHeight="1" x14ac:dyDescent="0.3">
      <c r="W477" s="18">
        <f ca="1"/>
        <v>-0.20497341093402444</v>
      </c>
      <c r="X477" s="18">
        <f ca="1"/>
        <v>0.60693285908865757</v>
      </c>
      <c r="Y477" s="18">
        <f ca="1"/>
        <v>0.29688884974928254</v>
      </c>
      <c r="Z477" s="18">
        <f ca="1"/>
        <v>-0.34596948673342531</v>
      </c>
      <c r="AA477" s="18">
        <f ca="1"/>
        <v>-0.53946389683264018</v>
      </c>
      <c r="AB477" s="18">
        <f ca="1"/>
        <v>-0.4234259044000237</v>
      </c>
      <c r="AC477" s="18">
        <f ca="1"/>
        <v>0.14401085377116063</v>
      </c>
      <c r="AD477" s="18">
        <f ca="1"/>
        <v>0.42613027782853585</v>
      </c>
      <c r="AG477" s="12">
        <f ca="1"/>
        <v>0.2500387743436418</v>
      </c>
      <c r="AH477" s="13">
        <f ca="1"/>
        <v>0.32927166041214373</v>
      </c>
      <c r="AI477" s="13">
        <f ca="1"/>
        <v>1.3195048270223451</v>
      </c>
      <c r="AJ477" s="13">
        <f ca="1"/>
        <v>0.47439772553754067</v>
      </c>
      <c r="AK477" s="13">
        <f ca="1"/>
        <v>-1.2655371374823927</v>
      </c>
      <c r="AL477" s="14">
        <f ca="1"/>
        <v>1.0104801763844309</v>
      </c>
    </row>
    <row r="478" spans="4:38" ht="24" customHeight="1" x14ac:dyDescent="0.3">
      <c r="D478" s="7" t="s">
        <v>139</v>
      </c>
      <c r="E478" s="18" cm="1">
        <f t="array" aca="1" ref="E478:L483" ca="1">(_xlfn.RANDARRAY(F460,F459)-0.5)*2</f>
        <v>0.8659190820364091</v>
      </c>
      <c r="F478" s="18">
        <f ca="1"/>
        <v>-0.35794037266623091</v>
      </c>
      <c r="G478" s="18">
        <f ca="1"/>
        <v>0.16911276962311428</v>
      </c>
      <c r="H478" s="18">
        <f ca="1"/>
        <v>-2.0653030578498655E-2</v>
      </c>
      <c r="I478" s="18">
        <f ca="1"/>
        <v>0.31663086847517752</v>
      </c>
      <c r="J478" s="18">
        <f ca="1"/>
        <v>4.4618147192063695E-2</v>
      </c>
      <c r="K478" s="18">
        <f ca="1"/>
        <v>0.33919807199538532</v>
      </c>
      <c r="L478" s="18">
        <f ca="1"/>
        <v>-0.60010146512656926</v>
      </c>
      <c r="N478" s="7" t="s">
        <v>140</v>
      </c>
      <c r="O478" s="9" cm="1">
        <f t="array" aca="1" ref="O478:T483" ca="1">MMULT(_xlfn.ANCHORARRAY(E478),_xlfn.ANCHORARRAY(O461))</f>
        <v>0.44561104359141335</v>
      </c>
      <c r="P478" s="10">
        <f ca="1"/>
        <v>-8.0228312663536305E-2</v>
      </c>
      <c r="Q478" s="10">
        <f ca="1"/>
        <v>-0.92080531661483089</v>
      </c>
      <c r="R478" s="10">
        <f ca="1"/>
        <v>-5.6796460295729601E-2</v>
      </c>
      <c r="S478" s="10">
        <f ca="1"/>
        <v>1.8150062736262199E-2</v>
      </c>
      <c r="T478" s="11">
        <f ca="1"/>
        <v>-1.1198198992460493</v>
      </c>
      <c r="W478" s="18">
        <f ca="1"/>
        <v>-0.34861275595296748</v>
      </c>
      <c r="X478" s="18">
        <f ca="1"/>
        <v>0.15111623694625065</v>
      </c>
      <c r="Y478" s="18">
        <f ca="1"/>
        <v>0.79461132985111949</v>
      </c>
      <c r="Z478" s="18">
        <f ca="1"/>
        <v>0.23347844699604581</v>
      </c>
      <c r="AA478" s="18">
        <f ca="1"/>
        <v>0.44586320531841661</v>
      </c>
      <c r="AB478" s="18">
        <f ca="1"/>
        <v>-0.9463650409244253</v>
      </c>
      <c r="AC478" s="18">
        <f ca="1"/>
        <v>-0.35730806432906714</v>
      </c>
      <c r="AD478" s="18">
        <f ca="1"/>
        <v>-0.20704350879127142</v>
      </c>
      <c r="AG478" s="15">
        <f ca="1"/>
        <v>-0.28451529036917705</v>
      </c>
      <c r="AH478" s="16">
        <f ca="1"/>
        <v>-0.3056890626606289</v>
      </c>
      <c r="AI478" s="16">
        <f ca="1"/>
        <v>1.1581498908812118E-2</v>
      </c>
      <c r="AJ478" s="16">
        <f ca="1"/>
        <v>-0.70562958256114294</v>
      </c>
      <c r="AK478" s="16">
        <f ca="1"/>
        <v>-0.47770997347070332</v>
      </c>
      <c r="AL478" s="17">
        <f ca="1"/>
        <v>0.81436172155461861</v>
      </c>
    </row>
    <row r="479" spans="4:38" ht="24" customHeight="1" x14ac:dyDescent="0.3">
      <c r="E479" s="18">
        <f ca="1"/>
        <v>-0.91137936818752197</v>
      </c>
      <c r="F479" s="18">
        <f ca="1"/>
        <v>0.70866453481286573</v>
      </c>
      <c r="G479" s="18">
        <f ca="1"/>
        <v>-0.39740983439962685</v>
      </c>
      <c r="H479" s="18">
        <f ca="1"/>
        <v>-0.31606316404812285</v>
      </c>
      <c r="I479" s="18">
        <f ca="1"/>
        <v>0.97659647651139769</v>
      </c>
      <c r="J479" s="18">
        <f ca="1"/>
        <v>0.91321239466226789</v>
      </c>
      <c r="K479" s="18">
        <f ca="1"/>
        <v>-0.65092736946909513</v>
      </c>
      <c r="L479" s="18">
        <f ca="1"/>
        <v>0.93118796359543188</v>
      </c>
      <c r="O479" s="12">
        <f ca="1"/>
        <v>-1.0457261997730991</v>
      </c>
      <c r="P479" s="13">
        <f ca="1"/>
        <v>0.55683762261240677</v>
      </c>
      <c r="Q479" s="13">
        <f ca="1"/>
        <v>0.82479988861437636</v>
      </c>
      <c r="R479" s="13">
        <f ca="1"/>
        <v>1.0879324373441017</v>
      </c>
      <c r="S479" s="13">
        <f ca="1"/>
        <v>0.91943573075458396</v>
      </c>
      <c r="T479" s="14">
        <f ca="1"/>
        <v>-1.1226705670408608</v>
      </c>
      <c r="W479" s="3" t="s">
        <v>147</v>
      </c>
    </row>
    <row r="480" spans="4:38" ht="24" customHeight="1" x14ac:dyDescent="0.3">
      <c r="E480" s="18">
        <f ca="1"/>
        <v>0.64082086858598508</v>
      </c>
      <c r="F480" s="18">
        <f ca="1"/>
        <v>0.53391434948380567</v>
      </c>
      <c r="G480" s="18">
        <f ca="1"/>
        <v>0.54074257113109869</v>
      </c>
      <c r="H480" s="18">
        <f ca="1"/>
        <v>-0.65166505444601119</v>
      </c>
      <c r="I480" s="18">
        <f ca="1"/>
        <v>0.13156955501119327</v>
      </c>
      <c r="J480" s="18">
        <f ca="1"/>
        <v>-0.37671114957899654</v>
      </c>
      <c r="K480" s="18">
        <f ca="1"/>
        <v>0.9836827907778023</v>
      </c>
      <c r="L480" s="18">
        <f ca="1"/>
        <v>0.67437891839737985</v>
      </c>
      <c r="O480" s="12">
        <f ca="1"/>
        <v>0.57844335667605873</v>
      </c>
      <c r="P480" s="13">
        <f ca="1"/>
        <v>0.48536325333707608</v>
      </c>
      <c r="Q480" s="13">
        <f ca="1"/>
        <v>1.4160048956438833</v>
      </c>
      <c r="R480" s="13">
        <f ca="1"/>
        <v>1.169553880750795</v>
      </c>
      <c r="S480" s="13">
        <f ca="1"/>
        <v>-1.6697220405076854</v>
      </c>
      <c r="T480" s="14">
        <f ca="1"/>
        <v>0.16730971567094977</v>
      </c>
      <c r="W480" s="9" cm="1">
        <f t="array" aca="1" ref="W480:W487" ca="1">_xlfn.LET(_xlpm.z,AG471:AG478,EXP(_xlpm.z)/SUM(EXP(_xlpm.z)))</f>
        <v>0.16963817214158314</v>
      </c>
      <c r="X480" s="10" cm="1">
        <f t="array" aca="1" ref="X480:X487" ca="1">_xlfn.LET(_xlpm.z,AH471:AH478,EXP(_xlpm.z)/SUM(EXP(_xlpm.z)))</f>
        <v>0.14298522439538353</v>
      </c>
      <c r="Y480" s="10" cm="1">
        <f t="array" aca="1" ref="Y480:Y487" ca="1">_xlfn.LET(_xlpm.z,AI471:AI478,EXP(_xlpm.z)/SUM(EXP(_xlpm.z)))</f>
        <v>7.9692245489135269E-2</v>
      </c>
      <c r="Z480" s="10" cm="1">
        <f t="array" aca="1" ref="Z480:Z487" ca="1">_xlfn.LET(_xlpm.z,AJ471:AJ478,EXP(_xlpm.z)/SUM(EXP(_xlpm.z)))</f>
        <v>0.11178845815403822</v>
      </c>
      <c r="AA480" s="10" cm="1">
        <f t="array" aca="1" ref="AA480:AA487" ca="1">_xlfn.LET(_xlpm.z,AK471:AK478,EXP(_xlpm.z)/SUM(EXP(_xlpm.z)))</f>
        <v>9.5664094355284487E-2</v>
      </c>
      <c r="AB480" s="11" cm="1">
        <f t="array" aca="1" ref="AB480:AB487" ca="1">_xlfn.LET(_xlpm.z,AL471:AL478,EXP(_xlpm.z)/SUM(EXP(_xlpm.z)))</f>
        <v>6.6151405989875636E-2</v>
      </c>
    </row>
    <row r="481" spans="4:28" ht="24" customHeight="1" x14ac:dyDescent="0.3">
      <c r="E481" s="18">
        <f ca="1"/>
        <v>0.74510067623607013</v>
      </c>
      <c r="F481" s="18">
        <f ca="1"/>
        <v>0.43580222405392632</v>
      </c>
      <c r="G481" s="18">
        <f ca="1"/>
        <v>0.38712587809543786</v>
      </c>
      <c r="H481" s="18">
        <f ca="1"/>
        <v>-0.81119964982745207</v>
      </c>
      <c r="I481" s="18">
        <f ca="1"/>
        <v>-0.22186077398256776</v>
      </c>
      <c r="J481" s="18">
        <f ca="1"/>
        <v>-0.75420822754392036</v>
      </c>
      <c r="K481" s="18">
        <f ca="1"/>
        <v>0.56147214020332603</v>
      </c>
      <c r="L481" s="18">
        <f ca="1"/>
        <v>0.56598381499296213</v>
      </c>
      <c r="O481" s="12">
        <f ca="1"/>
        <v>0.76893963055351788</v>
      </c>
      <c r="P481" s="13">
        <f ca="1"/>
        <v>0.336854689737972</v>
      </c>
      <c r="Q481" s="13">
        <f ca="1"/>
        <v>1.029264606763167</v>
      </c>
      <c r="R481" s="13">
        <f ca="1"/>
        <v>0.78299880380755638</v>
      </c>
      <c r="S481" s="13">
        <f ca="1"/>
        <v>-1.4588219042245569</v>
      </c>
      <c r="T481" s="14">
        <f ca="1"/>
        <v>0.36823607143062165</v>
      </c>
      <c r="W481" s="12">
        <f ca="1"/>
        <v>8.8024526131565334E-2</v>
      </c>
      <c r="X481" s="13">
        <f ca="1"/>
        <v>0.14768991093262424</v>
      </c>
      <c r="Y481" s="13">
        <f ca="1"/>
        <v>9.8099151881752986E-2</v>
      </c>
      <c r="Z481" s="13">
        <f ca="1"/>
        <v>2.9851427843393518E-2</v>
      </c>
      <c r="AA481" s="13">
        <f ca="1"/>
        <v>0.124576254548902</v>
      </c>
      <c r="AB481" s="14">
        <f ca="1"/>
        <v>0.1475033720852614</v>
      </c>
    </row>
    <row r="482" spans="4:28" ht="24" customHeight="1" x14ac:dyDescent="0.3">
      <c r="E482" s="18">
        <f ca="1"/>
        <v>-0.7523912398609518</v>
      </c>
      <c r="F482" s="18">
        <f ca="1"/>
        <v>-7.0810280699124206E-2</v>
      </c>
      <c r="G482" s="18">
        <f ca="1"/>
        <v>5.2933722078256196E-2</v>
      </c>
      <c r="H482" s="18">
        <f ca="1"/>
        <v>-0.99870056157987808</v>
      </c>
      <c r="I482" s="18">
        <f ca="1"/>
        <v>0.1527287476817456</v>
      </c>
      <c r="J482" s="18">
        <f ca="1"/>
        <v>-0.39863557823708584</v>
      </c>
      <c r="K482" s="18">
        <f ca="1"/>
        <v>-0.49220947145345795</v>
      </c>
      <c r="L482" s="18">
        <f ca="1"/>
        <v>3.1566001928688969E-3</v>
      </c>
      <c r="O482" s="12">
        <f ca="1"/>
        <v>-8.2793717525705829E-2</v>
      </c>
      <c r="P482" s="13">
        <f ca="1"/>
        <v>0.37174248749445132</v>
      </c>
      <c r="Q482" s="13">
        <f ca="1"/>
        <v>7.9359958913631234E-2</v>
      </c>
      <c r="R482" s="13">
        <f ca="1"/>
        <v>-1.1829274235108074</v>
      </c>
      <c r="S482" s="13">
        <f ca="1"/>
        <v>0.18095664304892023</v>
      </c>
      <c r="T482" s="14">
        <f ca="1"/>
        <v>-0.1539680252799942</v>
      </c>
      <c r="W482" s="12">
        <f ca="1"/>
        <v>0.12838497247949596</v>
      </c>
      <c r="X482" s="13">
        <f ca="1"/>
        <v>0.15293159805657211</v>
      </c>
      <c r="Y482" s="13">
        <f ca="1"/>
        <v>0.11177358902845864</v>
      </c>
      <c r="Z482" s="13">
        <f ca="1"/>
        <v>6.634566389896665E-2</v>
      </c>
      <c r="AA482" s="13">
        <f ca="1"/>
        <v>4.7950785869378156E-2</v>
      </c>
      <c r="AB482" s="14">
        <f ca="1"/>
        <v>9.2917211533443109E-2</v>
      </c>
    </row>
    <row r="483" spans="4:28" ht="24" customHeight="1" x14ac:dyDescent="0.3">
      <c r="E483" s="18">
        <f ca="1"/>
        <v>-0.48667021278891553</v>
      </c>
      <c r="F483" s="18">
        <f ca="1"/>
        <v>0.95021184042815365</v>
      </c>
      <c r="G483" s="18">
        <f ca="1"/>
        <v>-0.44188722294944105</v>
      </c>
      <c r="H483" s="18">
        <f ca="1"/>
        <v>0.89503483749058876</v>
      </c>
      <c r="I483" s="18">
        <f ca="1"/>
        <v>-0.57914239273682533</v>
      </c>
      <c r="J483" s="18">
        <f ca="1"/>
        <v>-3.1209527411887539E-2</v>
      </c>
      <c r="K483" s="18">
        <f ca="1"/>
        <v>0.1141000391504372</v>
      </c>
      <c r="L483" s="18">
        <f ca="1"/>
        <v>-0.63519617077410251</v>
      </c>
      <c r="O483" s="15">
        <f ca="1"/>
        <v>-2.0492395649538947E-2</v>
      </c>
      <c r="P483" s="16">
        <f ca="1"/>
        <v>0.96126121920358987</v>
      </c>
      <c r="Q483" s="16">
        <f ca="1"/>
        <v>0.73519194735007387</v>
      </c>
      <c r="R483" s="16">
        <f ca="1"/>
        <v>-0.19963181229679178</v>
      </c>
      <c r="S483" s="16">
        <f ca="1"/>
        <v>-0.59903292354472193</v>
      </c>
      <c r="T483" s="17">
        <f ca="1"/>
        <v>0.4262697618169482</v>
      </c>
      <c r="W483" s="12">
        <f ca="1"/>
        <v>0.12166135983572847</v>
      </c>
      <c r="X483" s="13">
        <f ca="1"/>
        <v>6.3595113876597428E-2</v>
      </c>
      <c r="Y483" s="13">
        <f ca="1"/>
        <v>4.4377515570291841E-2</v>
      </c>
      <c r="Z483" s="13">
        <f ca="1"/>
        <v>9.3607543192191389E-2</v>
      </c>
      <c r="AA483" s="13">
        <f ca="1"/>
        <v>0.27795992596342028</v>
      </c>
      <c r="AB483" s="14">
        <f ca="1"/>
        <v>0.11979627377798921</v>
      </c>
    </row>
    <row r="484" spans="4:28" ht="24" customHeight="1" x14ac:dyDescent="0.3">
      <c r="W484" s="12">
        <f ca="1"/>
        <v>8.040872166616557E-2</v>
      </c>
      <c r="X484" s="13">
        <f ca="1"/>
        <v>3.119613336685971E-2</v>
      </c>
      <c r="Y484" s="13">
        <f ca="1"/>
        <v>4.823916414505755E-2</v>
      </c>
      <c r="Z484" s="13">
        <f ca="1"/>
        <v>0.191570456588253</v>
      </c>
      <c r="AA484" s="13">
        <f ca="1"/>
        <v>0.27312944130841166</v>
      </c>
      <c r="AB484" s="14">
        <f ca="1"/>
        <v>0.1189302679618908</v>
      </c>
    </row>
    <row r="485" spans="4:28" ht="24" customHeight="1" x14ac:dyDescent="0.3">
      <c r="D485" s="7" t="s">
        <v>141</v>
      </c>
      <c r="O485" s="9" cm="1">
        <f t="array" aca="1" ref="O485:T490" ca="1">_xlfn.ANCHORARRAY(O471)*_xlfn.ANCHORARRAY(O478)</f>
        <v>2.2348606183253952E-3</v>
      </c>
      <c r="P485" s="10">
        <f ca="1"/>
        <v>2.0591084060911088E-2</v>
      </c>
      <c r="Q485" s="10">
        <f ca="1"/>
        <v>-8.5157365253240025E-3</v>
      </c>
      <c r="R485" s="10">
        <f ca="1"/>
        <v>-8.4913189404309634E-3</v>
      </c>
      <c r="S485" s="10">
        <f ca="1"/>
        <v>-1.3143888262739727E-3</v>
      </c>
      <c r="T485" s="11">
        <f ca="1"/>
        <v>-2.7287907140716694</v>
      </c>
      <c r="W485" s="12">
        <f ca="1"/>
        <v>0.13869613019858421</v>
      </c>
      <c r="X485" s="13">
        <f ca="1"/>
        <v>0.19675131798547113</v>
      </c>
      <c r="Y485" s="13">
        <f ca="1"/>
        <v>0.16720373949815429</v>
      </c>
      <c r="Z485" s="13">
        <f ca="1"/>
        <v>0.31266319311684165</v>
      </c>
      <c r="AA485" s="13">
        <f ca="1"/>
        <v>9.4915491621139506E-2</v>
      </c>
      <c r="AB485" s="14">
        <f ca="1"/>
        <v>4.1461138265746551E-2</v>
      </c>
    </row>
    <row r="486" spans="4:28" ht="24" customHeight="1" x14ac:dyDescent="0.3">
      <c r="O486" s="12">
        <f ca="1"/>
        <v>7.4853565652091572E-2</v>
      </c>
      <c r="P486" s="13">
        <f ca="1"/>
        <v>0.41946350616488631</v>
      </c>
      <c r="Q486" s="13">
        <f ca="1"/>
        <v>0.67755544572214854</v>
      </c>
      <c r="R486" s="13">
        <f ca="1"/>
        <v>0.21763146782745921</v>
      </c>
      <c r="S486" s="13">
        <f ca="1"/>
        <v>-0.25570710006368275</v>
      </c>
      <c r="T486" s="14">
        <f ca="1"/>
        <v>0.30343085512229218</v>
      </c>
      <c r="W486" s="12">
        <f ca="1"/>
        <v>0.17225604418092941</v>
      </c>
      <c r="X486" s="13">
        <f ca="1"/>
        <v>0.17310997763361186</v>
      </c>
      <c r="Y486" s="13">
        <f ca="1"/>
        <v>0.3547082381845853</v>
      </c>
      <c r="Z486" s="13">
        <f ca="1"/>
        <v>0.14853336004678511</v>
      </c>
      <c r="AA486" s="13">
        <f ca="1"/>
        <v>2.6825370677688171E-2</v>
      </c>
      <c r="AB486" s="14">
        <f ca="1"/>
        <v>0.22681648708652927</v>
      </c>
    </row>
    <row r="487" spans="4:28" ht="24" customHeight="1" x14ac:dyDescent="0.3">
      <c r="O487" s="12">
        <f ca="1"/>
        <v>-7.1697201404827418E-3</v>
      </c>
      <c r="P487" s="13">
        <f ca="1"/>
        <v>0.41853825146966483</v>
      </c>
      <c r="Q487" s="13">
        <f ca="1"/>
        <v>1.6190940133603708</v>
      </c>
      <c r="R487" s="13">
        <f ca="1"/>
        <v>7.8010134224333672E-2</v>
      </c>
      <c r="S487" s="13">
        <f ca="1"/>
        <v>0.21413037543521898</v>
      </c>
      <c r="T487" s="14">
        <f ca="1"/>
        <v>1.6040143086555297E-2</v>
      </c>
      <c r="W487" s="15">
        <f ca="1"/>
        <v>0.10093007336594795</v>
      </c>
      <c r="X487" s="16">
        <f ca="1"/>
        <v>9.1740723752879866E-2</v>
      </c>
      <c r="Y487" s="16">
        <f ca="1"/>
        <v>9.5906356202564172E-2</v>
      </c>
      <c r="Z487" s="16">
        <f ca="1"/>
        <v>4.5639897159530519E-2</v>
      </c>
      <c r="AA487" s="16">
        <f ca="1"/>
        <v>5.8978635655775762E-2</v>
      </c>
      <c r="AB487" s="17">
        <f ca="1"/>
        <v>0.18642384329926395</v>
      </c>
    </row>
    <row r="488" spans="4:28" ht="24" customHeight="1" x14ac:dyDescent="0.3">
      <c r="O488" s="12">
        <f ca="1"/>
        <v>-0.17112970928294174</v>
      </c>
      <c r="P488" s="13">
        <f ca="1"/>
        <v>-9.361038987901027E-2</v>
      </c>
      <c r="Q488" s="13">
        <f ca="1"/>
        <v>-0.11425386274500664</v>
      </c>
      <c r="R488" s="13">
        <f ca="1"/>
        <v>0.33803245363456835</v>
      </c>
      <c r="S488" s="13">
        <f ca="1"/>
        <v>-5.9380762608072082E-2</v>
      </c>
      <c r="T488" s="14">
        <f ca="1"/>
        <v>0.2973873643087066</v>
      </c>
      <c r="W488" s="3" t="s">
        <v>148</v>
      </c>
    </row>
    <row r="489" spans="4:28" ht="24" customHeight="1" x14ac:dyDescent="0.3">
      <c r="O489" s="12">
        <f ca="1"/>
        <v>-1.8457300557882566E-2</v>
      </c>
      <c r="P489" s="13">
        <f ca="1"/>
        <v>6.8877711816430612E-2</v>
      </c>
      <c r="Q489" s="13">
        <f ca="1"/>
        <v>-1.887201639429759E-2</v>
      </c>
      <c r="R489" s="13">
        <f ca="1"/>
        <v>-0.5010349575592733</v>
      </c>
      <c r="S489" s="13">
        <f ca="1"/>
        <v>7.9350749848496618E-2</v>
      </c>
      <c r="T489" s="14">
        <f ca="1"/>
        <v>3.4976039485026707E-2</v>
      </c>
      <c r="W489" s="8">
        <f ca="1">MATCH(LARGE(W480:W487,1),W480:W487,0)</f>
        <v>7</v>
      </c>
      <c r="X489" s="8">
        <f ca="1">MATCH(LARGE(X480:X487,1),X480:X487,0)</f>
        <v>6</v>
      </c>
      <c r="Y489" s="8">
        <f ca="1">MATCH(LARGE(Y480:Y487,1),Y480:Y487,0)</f>
        <v>7</v>
      </c>
      <c r="Z489" s="8">
        <f ca="1">MATCH(LARGE(Z480:Z487,1),Z480:Z487,0)</f>
        <v>6</v>
      </c>
      <c r="AA489" s="8">
        <f ca="1">MATCH(LARGE(AA480:AA487,1),AA480:AA487,0)</f>
        <v>4</v>
      </c>
      <c r="AB489" s="8">
        <f ca="1">MATCH(LARGE(AB480:AB487,1),AB480:AB487,0)</f>
        <v>7</v>
      </c>
    </row>
    <row r="490" spans="4:28" ht="24" customHeight="1" x14ac:dyDescent="0.3">
      <c r="O490" s="15">
        <f ca="1"/>
        <v>2.3753562647819263E-4</v>
      </c>
      <c r="P490" s="16">
        <f ca="1"/>
        <v>0.51301522281446021</v>
      </c>
      <c r="Q490" s="16">
        <f ca="1"/>
        <v>0.71646216537604679</v>
      </c>
      <c r="R490" s="16">
        <f ca="1"/>
        <v>-0.23578827803745225</v>
      </c>
      <c r="S490" s="16">
        <f ca="1"/>
        <v>9.5383587048088608E-2</v>
      </c>
      <c r="T490" s="17">
        <f ca="1"/>
        <v>2.9730446332108841E-2</v>
      </c>
    </row>
    <row r="492" spans="4:28" ht="24" customHeight="1" x14ac:dyDescent="0.3">
      <c r="D492" s="7" t="s">
        <v>142</v>
      </c>
      <c r="E492" s="18" cm="1">
        <f t="array" aca="1" ref="E492:J499" ca="1">(_xlfn.RANDARRAY(F459,F460)-0.5)*2</f>
        <v>-0.72373666841775419</v>
      </c>
      <c r="F492" s="18">
        <f ca="1"/>
        <v>-0.20476122905685656</v>
      </c>
      <c r="G492" s="18">
        <f ca="1"/>
        <v>0.96009316100115694</v>
      </c>
      <c r="H492" s="18">
        <f ca="1"/>
        <v>-0.89333093378747463</v>
      </c>
      <c r="I492" s="18">
        <f ca="1"/>
        <v>0.75101900303656466</v>
      </c>
      <c r="J492" s="18">
        <f ca="1"/>
        <v>-0.8722649185866187</v>
      </c>
      <c r="N492" s="7" t="s">
        <v>143</v>
      </c>
      <c r="O492" s="9" cm="1">
        <f t="array" aca="1" ref="O492:T499" ca="1">MMULT(_xlfn.ANCHORARRAY(E492),_xlfn.ANCHORARRAY(O485))</f>
        <v>0.11497832758122584</v>
      </c>
      <c r="P492" s="10">
        <f ca="1"/>
        <v>-1.1088326890076383E-2</v>
      </c>
      <c r="Q492" s="10">
        <f ca="1"/>
        <v>0.88485560881189373</v>
      </c>
      <c r="R492" s="10">
        <f ca="1"/>
        <v>-0.43611179021826896</v>
      </c>
      <c r="S492" s="10">
        <f ca="1"/>
        <v>0.28833611685580368</v>
      </c>
      <c r="T492" s="11">
        <f ca="1"/>
        <v>1.6628645701621014</v>
      </c>
    </row>
    <row r="493" spans="4:28" ht="24" customHeight="1" x14ac:dyDescent="0.3">
      <c r="E493" s="18">
        <f ca="1"/>
        <v>4.8588362327047996E-2</v>
      </c>
      <c r="F493" s="18">
        <f ca="1"/>
        <v>0.1915180645494341</v>
      </c>
      <c r="G493" s="18">
        <f ca="1"/>
        <v>0.54543359030058491</v>
      </c>
      <c r="H493" s="18">
        <f ca="1"/>
        <v>0.51935724987532073</v>
      </c>
      <c r="I493" s="18">
        <f ca="1"/>
        <v>0.29844747463608678</v>
      </c>
      <c r="J493" s="18">
        <f ca="1"/>
        <v>-0.25860819928167933</v>
      </c>
      <c r="O493" s="12">
        <f ca="1"/>
        <v>-8.3913626547767517E-2</v>
      </c>
      <c r="P493" s="13">
        <f ca="1"/>
        <v>0.14888934860697473</v>
      </c>
      <c r="Q493" s="13">
        <f ca="1"/>
        <v>0.76220473462079108</v>
      </c>
      <c r="R493" s="13">
        <f ca="1"/>
        <v>0.17082089550714982</v>
      </c>
      <c r="S493" s="13">
        <f ca="1"/>
        <v>3.5932730221371625E-2</v>
      </c>
      <c r="T493" s="14">
        <f ca="1"/>
        <v>9.1474108142568747E-2</v>
      </c>
    </row>
    <row r="494" spans="4:28" ht="24" customHeight="1" x14ac:dyDescent="0.3">
      <c r="E494" s="18">
        <f ca="1"/>
        <v>-0.26956743119668047</v>
      </c>
      <c r="F494" s="18">
        <f ca="1"/>
        <v>0.62161709571693136</v>
      </c>
      <c r="G494" s="18">
        <f ca="1"/>
        <v>0.27003845514073488</v>
      </c>
      <c r="H494" s="18">
        <f ca="1"/>
        <v>-0.42341700143822125</v>
      </c>
      <c r="I494" s="18">
        <f ca="1"/>
        <v>-0.30491751511483978</v>
      </c>
      <c r="J494" s="18">
        <f ca="1"/>
        <v>1.6031755107612788E-2</v>
      </c>
      <c r="O494" s="12">
        <f ca="1"/>
        <v>0.1220827009946259</v>
      </c>
      <c r="P494" s="13">
        <f ca="1"/>
        <v>0.39507516794058589</v>
      </c>
      <c r="Q494" s="13">
        <f ca="1"/>
        <v>0.92631084196187841</v>
      </c>
      <c r="R494" s="13">
        <f ca="1"/>
        <v>0.1645037065401693</v>
      </c>
      <c r="S494" s="13">
        <f ca="1"/>
        <v>-9.829759540589833E-2</v>
      </c>
      <c r="T494" s="14">
        <f ca="1"/>
        <v>0.79243532356230439</v>
      </c>
    </row>
    <row r="495" spans="4:28" ht="24" customHeight="1" x14ac:dyDescent="0.3">
      <c r="E495" s="18">
        <f ca="1"/>
        <v>0.13794389846718147</v>
      </c>
      <c r="F495" s="18">
        <f ca="1"/>
        <v>-0.91276572944193024</v>
      </c>
      <c r="G495" s="18">
        <f ca="1"/>
        <v>0.53829179911532643</v>
      </c>
      <c r="H495" s="18">
        <f ca="1"/>
        <v>-0.21468372541115333</v>
      </c>
      <c r="I495" s="18">
        <f ca="1"/>
        <v>-0.16481698168914161</v>
      </c>
      <c r="J495" s="18">
        <f ca="1"/>
        <v>-0.97285150123228359</v>
      </c>
      <c r="O495" s="12">
        <f ca="1"/>
        <v>-3.2325132426458437E-2</v>
      </c>
      <c r="P495" s="13">
        <f ca="1"/>
        <v>-0.64507900938853002</v>
      </c>
      <c r="Q495" s="13">
        <f ca="1"/>
        <v>-0.41745147464295429</v>
      </c>
      <c r="R495" s="13">
        <f ca="1"/>
        <v>8.1570327613259663E-2</v>
      </c>
      <c r="S495" s="13">
        <f ca="1"/>
        <v>0.2553596572295781</v>
      </c>
      <c r="T495" s="14">
        <f ca="1"/>
        <v>-0.74327921939670583</v>
      </c>
    </row>
    <row r="496" spans="4:28" ht="24" customHeight="1" x14ac:dyDescent="0.3">
      <c r="E496" s="18">
        <f ca="1"/>
        <v>-0.91691322234054295</v>
      </c>
      <c r="F496" s="18">
        <f ca="1"/>
        <v>-1.4571171200157274E-3</v>
      </c>
      <c r="G496" s="18">
        <f ca="1"/>
        <v>4.4916666315861331E-2</v>
      </c>
      <c r="H496" s="18">
        <f ca="1"/>
        <v>-0.7845633867997952</v>
      </c>
      <c r="I496" s="18">
        <f ca="1"/>
        <v>-0.63671886011872214</v>
      </c>
      <c r="J496" s="18">
        <f ca="1"/>
        <v>0.9963739744292428</v>
      </c>
      <c r="O496" s="12">
        <f ca="1"/>
        <v>0.14377060639523062</v>
      </c>
      <c r="P496" s="13">
        <f ca="1"/>
        <v>0.54005046115398669</v>
      </c>
      <c r="Q496" s="13">
        <f ca="1"/>
        <v>0.89506504083124627</v>
      </c>
      <c r="R496" s="13">
        <f ca="1"/>
        <v>-0.17015014008483628</v>
      </c>
      <c r="S496" s="13">
        <f ca="1"/>
        <v>0.10229737526069822</v>
      </c>
      <c r="T496" s="14">
        <f ca="1"/>
        <v>2.2763761234409454</v>
      </c>
    </row>
    <row r="497" spans="1:131" ht="24" customHeight="1" x14ac:dyDescent="0.3">
      <c r="E497" s="18">
        <f ca="1"/>
        <v>-0.49522793224014405</v>
      </c>
      <c r="F497" s="18">
        <f ca="1"/>
        <v>1.998781513966108E-2</v>
      </c>
      <c r="G497" s="18">
        <f ca="1"/>
        <v>-0.33508655862660541</v>
      </c>
      <c r="H497" s="18">
        <f ca="1"/>
        <v>-0.88705696221529617</v>
      </c>
      <c r="I497" s="18">
        <f ca="1"/>
        <v>1.6096012117504443E-2</v>
      </c>
      <c r="J497" s="18">
        <f ca="1"/>
        <v>0.99789588361794168</v>
      </c>
      <c r="O497" s="12">
        <f ca="1"/>
        <v>0.15453361762988266</v>
      </c>
      <c r="P497" s="13">
        <f ca="1"/>
        <v>0.45402252034020169</v>
      </c>
      <c r="Q497" s="13">
        <f ca="1"/>
        <v>0.29122400835717599</v>
      </c>
      <c r="R497" s="13">
        <f ca="1"/>
        <v>-0.56079588980522876</v>
      </c>
      <c r="S497" s="13">
        <f ca="1"/>
        <v>7.2921923616852749E-2</v>
      </c>
      <c r="T497" s="14">
        <f ca="1"/>
        <v>1.1184947991223344</v>
      </c>
    </row>
    <row r="498" spans="1:131" ht="24" customHeight="1" x14ac:dyDescent="0.3">
      <c r="E498" s="18">
        <f ca="1"/>
        <v>-0.60068655389972392</v>
      </c>
      <c r="F498" s="18">
        <f ca="1"/>
        <v>0.18055964981182759</v>
      </c>
      <c r="G498" s="18">
        <f ca="1"/>
        <v>0.33488848697249951</v>
      </c>
      <c r="H498" s="18">
        <f ca="1"/>
        <v>0.63013961514291594</v>
      </c>
      <c r="I498" s="18">
        <f ca="1"/>
        <v>-0.6311771570461433</v>
      </c>
      <c r="J498" s="18">
        <f ca="1"/>
        <v>0.60252414487461436</v>
      </c>
      <c r="O498" s="12">
        <f ca="1"/>
        <v>-8.6270635555802777E-2</v>
      </c>
      <c r="P498" s="13">
        <f ca="1"/>
        <v>0.41017544328522293</v>
      </c>
      <c r="Q498" s="13">
        <f ca="1"/>
        <v>1.0412718609204574</v>
      </c>
      <c r="R498" s="13">
        <f ca="1"/>
        <v>0.45770210828638563</v>
      </c>
      <c r="S498" s="13">
        <f ca="1"/>
        <v>-3.702688677378177E-3</v>
      </c>
      <c r="T498" s="14">
        <f ca="1"/>
        <v>1.8825397124212977</v>
      </c>
    </row>
    <row r="499" spans="1:131" ht="24" customHeight="1" x14ac:dyDescent="0.3">
      <c r="E499" s="18">
        <f ca="1"/>
        <v>-0.90685336112676618</v>
      </c>
      <c r="F499" s="18">
        <f ca="1"/>
        <v>0.20046738091704919</v>
      </c>
      <c r="G499" s="18">
        <f ca="1"/>
        <v>0.37621350929133257</v>
      </c>
      <c r="H499" s="18">
        <f ca="1"/>
        <v>-0.7631889170242161</v>
      </c>
      <c r="I499" s="18">
        <f ca="1"/>
        <v>0.69123929031058173</v>
      </c>
      <c r="J499" s="18">
        <f ca="1"/>
        <v>-0.89632230716163219</v>
      </c>
      <c r="O499" s="15">
        <f ca="1"/>
        <v>0.12791463949939058</v>
      </c>
      <c r="P499" s="16">
        <f ca="1"/>
        <v>-0.11789819437457588</v>
      </c>
      <c r="Q499" s="16">
        <f ca="1"/>
        <v>0.18464651205054994</v>
      </c>
      <c r="R499" s="16">
        <f ca="1"/>
        <v>-0.31229851948141424</v>
      </c>
      <c r="S499" s="16">
        <f ca="1"/>
        <v>4.5164424391146762E-2</v>
      </c>
      <c r="T499" s="17">
        <f ca="1"/>
        <v>2.3120415481620324</v>
      </c>
    </row>
    <row r="501" spans="1:131" ht="24" customHeight="1" x14ac:dyDescent="0.3">
      <c r="D501" s="1" t="s">
        <v>149</v>
      </c>
    </row>
    <row r="502" spans="1:131" ht="24" customHeight="1" x14ac:dyDescent="0.3">
      <c r="D502" s="1" t="s">
        <v>150</v>
      </c>
    </row>
    <row r="510" spans="1:131" ht="48" customHeight="1" thickBot="1" x14ac:dyDescent="0.95">
      <c r="A510" s="5" t="s">
        <v>151</v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  <c r="DK510" s="6"/>
      <c r="DL510" s="6"/>
      <c r="DM510" s="6"/>
      <c r="DN510" s="6"/>
      <c r="DO510" s="6"/>
      <c r="DP510" s="6"/>
      <c r="DQ510" s="6"/>
      <c r="DR510" s="6"/>
      <c r="DS510" s="6"/>
      <c r="DT510" s="6"/>
      <c r="DU510" s="6"/>
      <c r="DV510" s="6"/>
      <c r="DW510" s="6"/>
      <c r="DX510" s="6"/>
      <c r="DY510" s="6"/>
      <c r="DZ510" s="6"/>
      <c r="EA510" s="6"/>
    </row>
    <row r="511" spans="1:131" ht="24" customHeight="1" thickTop="1" x14ac:dyDescent="0.3"/>
    <row r="513" spans="4:20" ht="24" customHeight="1" x14ac:dyDescent="0.3">
      <c r="E513" s="7" t="s">
        <v>4</v>
      </c>
      <c r="F513" s="8">
        <v>6</v>
      </c>
      <c r="N513" s="7" t="s">
        <v>8</v>
      </c>
      <c r="O513" s="8" cm="1">
        <f t="array" ref="O513:T513">_xlfn.SEQUENCE(1,F513,1)</f>
        <v>1</v>
      </c>
      <c r="P513" s="8">
        <v>2</v>
      </c>
      <c r="Q513" s="8">
        <v>3</v>
      </c>
      <c r="R513" s="8">
        <v>4</v>
      </c>
      <c r="S513" s="8">
        <v>5</v>
      </c>
      <c r="T513" s="8">
        <v>6</v>
      </c>
    </row>
    <row r="514" spans="4:20" ht="24" customHeight="1" x14ac:dyDescent="0.3">
      <c r="E514" s="7" t="s">
        <v>5</v>
      </c>
      <c r="F514" s="8">
        <v>8</v>
      </c>
    </row>
    <row r="515" spans="4:20" ht="24" customHeight="1" x14ac:dyDescent="0.3">
      <c r="E515" s="7" t="s">
        <v>133</v>
      </c>
      <c r="F515" s="8">
        <v>3</v>
      </c>
      <c r="O515" s="8" t="str" cm="1">
        <f t="array" ref="O515:T515">"x"&amp;_xlfn.ANCHORARRAY(O513)</f>
        <v>x1</v>
      </c>
      <c r="P515" s="8" t="str">
        <v>x2</v>
      </c>
      <c r="Q515" s="8" t="str">
        <v>x3</v>
      </c>
      <c r="R515" s="8" t="str">
        <v>x4</v>
      </c>
      <c r="S515" s="8" t="str">
        <v>x5</v>
      </c>
      <c r="T515" s="8" t="str">
        <v>x6</v>
      </c>
    </row>
    <row r="516" spans="4:20" ht="24" customHeight="1" x14ac:dyDescent="0.3">
      <c r="E516" s="7" t="s">
        <v>134</v>
      </c>
      <c r="F516" s="8">
        <v>8</v>
      </c>
      <c r="N516" s="7" t="s">
        <v>9</v>
      </c>
      <c r="O516" s="9" cm="1">
        <f t="array" aca="1" ref="O516:T523" ca="1">(_xlfn.RANDARRAY(F514,F513)-0.5)*2</f>
        <v>-0.62409933274214824</v>
      </c>
      <c r="P516" s="10">
        <f ca="1"/>
        <v>0.9009977361421968</v>
      </c>
      <c r="Q516" s="10">
        <f ca="1"/>
        <v>0.15403720936397391</v>
      </c>
      <c r="R516" s="10">
        <f ca="1"/>
        <v>9.5483665260787998E-2</v>
      </c>
      <c r="S516" s="10">
        <f ca="1"/>
        <v>0.8632564485364842</v>
      </c>
      <c r="T516" s="11">
        <f ca="1"/>
        <v>-0.43642451057214204</v>
      </c>
    </row>
    <row r="517" spans="4:20" ht="24" customHeight="1" x14ac:dyDescent="0.3">
      <c r="E517" s="7" t="s">
        <v>135</v>
      </c>
      <c r="F517" s="8">
        <v>2</v>
      </c>
      <c r="O517" s="12">
        <f ca="1"/>
        <v>0.78135781207484323</v>
      </c>
      <c r="P517" s="13">
        <f ca="1"/>
        <v>0.72833426254116373</v>
      </c>
      <c r="Q517" s="13">
        <f ca="1"/>
        <v>4.5296342899217468E-2</v>
      </c>
      <c r="R517" s="13">
        <f ca="1"/>
        <v>-0.79734190963125817</v>
      </c>
      <c r="S517" s="13">
        <f ca="1"/>
        <v>-0.5850058488723171</v>
      </c>
      <c r="T517" s="14">
        <f ca="1"/>
        <v>0.28183736503472767</v>
      </c>
    </row>
    <row r="518" spans="4:20" ht="24" customHeight="1" x14ac:dyDescent="0.3">
      <c r="E518" s="7" t="s">
        <v>152</v>
      </c>
      <c r="F518" s="8">
        <v>1</v>
      </c>
      <c r="O518" s="12">
        <f ca="1"/>
        <v>-0.8192801721254872</v>
      </c>
      <c r="P518" s="13">
        <f ca="1"/>
        <v>-0.6270676459938529</v>
      </c>
      <c r="Q518" s="13">
        <f ca="1"/>
        <v>-0.51823104781704066</v>
      </c>
      <c r="R518" s="13">
        <f ca="1"/>
        <v>-0.71599005315379172</v>
      </c>
      <c r="S518" s="13">
        <f ca="1"/>
        <v>5.2620392675002847E-2</v>
      </c>
      <c r="T518" s="14">
        <f ca="1"/>
        <v>0.1382104887138782</v>
      </c>
    </row>
    <row r="519" spans="4:20" ht="24" customHeight="1" x14ac:dyDescent="0.3">
      <c r="O519" s="12">
        <f ca="1"/>
        <v>0.77675490750755838</v>
      </c>
      <c r="P519" s="13">
        <f ca="1"/>
        <v>0.62168427912831437</v>
      </c>
      <c r="Q519" s="13">
        <f ca="1"/>
        <v>-0.51225031523839526</v>
      </c>
      <c r="R519" s="13">
        <f ca="1"/>
        <v>0.51714381961210343</v>
      </c>
      <c r="S519" s="13">
        <f ca="1"/>
        <v>0.71650874427364863</v>
      </c>
      <c r="T519" s="14">
        <f ca="1"/>
        <v>-0.7359148920885894</v>
      </c>
    </row>
    <row r="520" spans="4:20" ht="24" customHeight="1" x14ac:dyDescent="0.3">
      <c r="O520" s="12">
        <f ca="1"/>
        <v>-5.981047278420748E-2</v>
      </c>
      <c r="P520" s="13">
        <f ca="1"/>
        <v>0.37542691588547283</v>
      </c>
      <c r="Q520" s="13">
        <f ca="1"/>
        <v>0.28902306867773175</v>
      </c>
      <c r="R520" s="13">
        <f ca="1"/>
        <v>-0.13573820907123491</v>
      </c>
      <c r="S520" s="13">
        <f ca="1"/>
        <v>-0.7259578892932419</v>
      </c>
      <c r="T520" s="14">
        <f ca="1"/>
        <v>0.85431524244911428</v>
      </c>
    </row>
    <row r="521" spans="4:20" ht="24" customHeight="1" x14ac:dyDescent="0.3">
      <c r="O521" s="12">
        <f ca="1"/>
        <v>3.6898897425832189E-2</v>
      </c>
      <c r="P521" s="13">
        <f ca="1"/>
        <v>0.40170805452463343</v>
      </c>
      <c r="Q521" s="13">
        <f ca="1"/>
        <v>-0.87890282633899774</v>
      </c>
      <c r="R521" s="13">
        <f ca="1"/>
        <v>-0.68550128897091911</v>
      </c>
      <c r="S521" s="13">
        <f ca="1"/>
        <v>-0.18068089368696816</v>
      </c>
      <c r="T521" s="14">
        <f ca="1"/>
        <v>-0.88439445531834027</v>
      </c>
    </row>
    <row r="522" spans="4:20" ht="24" customHeight="1" x14ac:dyDescent="0.3">
      <c r="O522" s="12">
        <f ca="1"/>
        <v>-0.3269095035563625</v>
      </c>
      <c r="P522" s="13">
        <f ca="1"/>
        <v>-0.33367380301148364</v>
      </c>
      <c r="Q522" s="13">
        <f ca="1"/>
        <v>-0.97624152855423985</v>
      </c>
      <c r="R522" s="13">
        <f ca="1"/>
        <v>0.93376962803627794</v>
      </c>
      <c r="S522" s="13">
        <f ca="1"/>
        <v>-0.33563604924622936</v>
      </c>
      <c r="T522" s="14">
        <f ca="1"/>
        <v>-0.89300725228544264</v>
      </c>
    </row>
    <row r="523" spans="4:20" ht="24" customHeight="1" x14ac:dyDescent="0.3">
      <c r="O523" s="15">
        <f ca="1"/>
        <v>0.89426280525433199</v>
      </c>
      <c r="P523" s="16">
        <f ca="1"/>
        <v>5.6416892852646949E-2</v>
      </c>
      <c r="Q523" s="16">
        <f ca="1"/>
        <v>0.13761853156673487</v>
      </c>
      <c r="R523" s="16">
        <f ca="1"/>
        <v>-0.28206337971575168</v>
      </c>
      <c r="S523" s="16">
        <f ca="1"/>
        <v>-0.14955956320926544</v>
      </c>
      <c r="T523" s="17">
        <f ca="1"/>
        <v>0.94902906176650514</v>
      </c>
    </row>
    <row r="525" spans="4:20" ht="24" customHeight="1" x14ac:dyDescent="0.3">
      <c r="D525" s="3" t="s">
        <v>144</v>
      </c>
    </row>
    <row r="526" spans="4:20" ht="24" customHeight="1" x14ac:dyDescent="0.3">
      <c r="D526" s="7" t="s">
        <v>145</v>
      </c>
      <c r="E526" s="18" cm="1">
        <f t="array" aca="1" ref="E526:L533" ca="1">(_xlfn.RANDARRAY(F516,F514)-0.5)*2</f>
        <v>-0.52484017006878414</v>
      </c>
      <c r="F526" s="18">
        <f ca="1"/>
        <v>-0.16788131310455556</v>
      </c>
      <c r="G526" s="18">
        <f ca="1"/>
        <v>-0.95756358512924455</v>
      </c>
      <c r="H526" s="18">
        <f ca="1"/>
        <v>0.70849256041964237</v>
      </c>
      <c r="I526" s="18">
        <f ca="1"/>
        <v>9.205482523090458E-2</v>
      </c>
      <c r="J526" s="18">
        <f ca="1"/>
        <v>-0.19997563843354271</v>
      </c>
      <c r="K526" s="18">
        <f ca="1"/>
        <v>3.7740274240506189E-2</v>
      </c>
      <c r="L526" s="18">
        <f ca="1"/>
        <v>-0.19281271981755355</v>
      </c>
      <c r="N526" s="7" t="s">
        <v>153</v>
      </c>
      <c r="O526" s="9" cm="1">
        <f t="array" aca="1" ref="O526:T533" ca="1">MMULT(_xlfn.ANCHORARRAY(E526),_xlfn.ANCHORARRAY(O516))</f>
        <v>1.3335673353067548</v>
      </c>
      <c r="P526" s="10">
        <f ca="1"/>
        <v>0.37651951154003438</v>
      </c>
      <c r="Q526" s="10">
        <f ca="1"/>
        <v>0.18385121348141356</v>
      </c>
      <c r="R526" s="10">
        <f ca="1"/>
        <v>1.34995802478416</v>
      </c>
      <c r="S526" s="10">
        <f ca="1"/>
        <v>8.7867471809842349E-2</v>
      </c>
      <c r="T526" s="11">
        <f ca="1"/>
        <v>-0.43318369681519775</v>
      </c>
    </row>
    <row r="527" spans="4:20" ht="24" customHeight="1" x14ac:dyDescent="0.3">
      <c r="E527" s="18">
        <f ca="1"/>
        <v>0.93311301136363989</v>
      </c>
      <c r="F527" s="18">
        <f ca="1"/>
        <v>-0.30702226073120986</v>
      </c>
      <c r="G527" s="18">
        <f ca="1"/>
        <v>-0.45328559838154403</v>
      </c>
      <c r="H527" s="18">
        <f ca="1"/>
        <v>0.5426435517043009</v>
      </c>
      <c r="I527" s="18">
        <f ca="1"/>
        <v>0.36859362727217837</v>
      </c>
      <c r="J527" s="18">
        <f ca="1"/>
        <v>0.31228326485478908</v>
      </c>
      <c r="K527" s="18">
        <f ca="1"/>
        <v>0.1131582593969167</v>
      </c>
      <c r="L527" s="18">
        <f ca="1"/>
        <v>-0.84913708747419481</v>
      </c>
      <c r="O527" s="12">
        <f ca="1"/>
        <v>-0.83624758003822008</v>
      </c>
      <c r="P527" s="13">
        <f ca="1"/>
        <v>1.4168746260059091</v>
      </c>
      <c r="Q527" s="13">
        <f ca="1"/>
        <v>-0.30849689517029216</v>
      </c>
      <c r="R527" s="13">
        <f ca="1"/>
        <v>1.020142907891803</v>
      </c>
      <c r="S527" s="13">
        <f ca="1"/>
        <v>1.1150919359187692</v>
      </c>
      <c r="T527" s="14">
        <f ca="1"/>
        <v>-1.8239453827509555</v>
      </c>
    </row>
    <row r="528" spans="4:20" ht="24" customHeight="1" x14ac:dyDescent="0.3">
      <c r="E528" s="18">
        <f ca="1"/>
        <v>-0.64380479968058157</v>
      </c>
      <c r="F528" s="18">
        <f ca="1"/>
        <v>-0.77176754107436452</v>
      </c>
      <c r="G528" s="18">
        <f ca="1"/>
        <v>-0.88194122187360424</v>
      </c>
      <c r="H528" s="18">
        <f ca="1"/>
        <v>-0.42064280049878189</v>
      </c>
      <c r="I528" s="18">
        <f ca="1"/>
        <v>0.34855474989950741</v>
      </c>
      <c r="J528" s="18">
        <f ca="1"/>
        <v>-0.42761260242438759</v>
      </c>
      <c r="K528" s="18">
        <f ca="1"/>
        <v>0.22891406683154081</v>
      </c>
      <c r="L528" s="18">
        <f ca="1"/>
        <v>0.15408274431442814</v>
      </c>
      <c r="O528" s="12">
        <f ca="1"/>
        <v>0.22092277032803168</v>
      </c>
      <c r="P528" s="13">
        <f ca="1"/>
        <v>-0.95924996960885456</v>
      </c>
      <c r="Q528" s="13">
        <f ca="1"/>
        <v>0.81269509955419905</v>
      </c>
      <c r="R528" s="13">
        <f ca="1"/>
        <v>1.3839267768390444</v>
      </c>
      <c r="S528" s="13">
        <f ca="1"/>
        <v>-0.72773346193739408</v>
      </c>
      <c r="T528" s="14">
        <f ca="1"/>
        <v>0.86888396896967346</v>
      </c>
    </row>
    <row r="529" spans="4:20" ht="24" customHeight="1" x14ac:dyDescent="0.3">
      <c r="E529" s="18">
        <f ca="1"/>
        <v>0.37436760924863188</v>
      </c>
      <c r="F529" s="18">
        <f ca="1"/>
        <v>0.11060117067877062</v>
      </c>
      <c r="G529" s="18">
        <f ca="1"/>
        <v>0.82080038000291644</v>
      </c>
      <c r="H529" s="18">
        <f ca="1"/>
        <v>-8.9690227554591218E-2</v>
      </c>
      <c r="I529" s="18">
        <f ca="1"/>
        <v>0.64340633995207375</v>
      </c>
      <c r="J529" s="18">
        <f ca="1"/>
        <v>-0.47803650323590796</v>
      </c>
      <c r="K529" s="18">
        <f ca="1"/>
        <v>-0.91488101064319727</v>
      </c>
      <c r="L529" s="18">
        <f ca="1"/>
        <v>0.88537669041775846</v>
      </c>
      <c r="O529" s="12">
        <f ca="1"/>
        <v>0.14536499518287949</v>
      </c>
      <c r="P529" s="13">
        <f ca="1"/>
        <v>0.25214559608362341</v>
      </c>
      <c r="Q529" s="13">
        <f ca="1"/>
        <v>1.304351961579326</v>
      </c>
      <c r="R529" s="13">
        <f ca="1"/>
        <v>-1.5501692394902251</v>
      </c>
      <c r="S529" s="13">
        <f ca="1"/>
        <v>3.1336578010943916E-2</v>
      </c>
      <c r="T529" s="14">
        <f ca="1"/>
        <v>2.6769242011732088</v>
      </c>
    </row>
    <row r="530" spans="4:20" ht="24" customHeight="1" x14ac:dyDescent="0.3">
      <c r="E530" s="18">
        <f ca="1"/>
        <v>0.90062385483237106</v>
      </c>
      <c r="F530" s="18">
        <f ca="1"/>
        <v>-0.45178370157813941</v>
      </c>
      <c r="G530" s="18">
        <f ca="1"/>
        <v>0.27898300700503453</v>
      </c>
      <c r="H530" s="18">
        <f ca="1"/>
        <v>0.63892541777966505</v>
      </c>
      <c r="I530" s="18">
        <f ca="1"/>
        <v>-0.49594678941535975</v>
      </c>
      <c r="J530" s="18">
        <f ca="1"/>
        <v>-0.17720611435004008</v>
      </c>
      <c r="K530" s="18">
        <f ca="1"/>
        <v>0.76938712209971749</v>
      </c>
      <c r="L530" s="18">
        <f ca="1"/>
        <v>0.86279641241328431</v>
      </c>
      <c r="O530" s="12">
        <f ca="1"/>
        <v>-0.10418938394230182</v>
      </c>
      <c r="P530" s="13">
        <f ca="1"/>
        <v>0.23925424419152816</v>
      </c>
      <c r="Q530" s="13">
        <f ca="1"/>
        <v>-0.97356595993488937</v>
      </c>
      <c r="R530" s="13">
        <f ca="1"/>
        <v>1.2407492225379717</v>
      </c>
      <c r="S530" s="13">
        <f ca="1"/>
        <v>1.5190220373660772</v>
      </c>
      <c r="T530" s="14">
        <f ca="1"/>
        <v>-1.0872444119537252</v>
      </c>
    </row>
    <row r="531" spans="4:20" ht="24" customHeight="1" x14ac:dyDescent="0.3">
      <c r="E531" s="18">
        <f ca="1"/>
        <v>-0.24057644824484026</v>
      </c>
      <c r="F531" s="18">
        <f ca="1"/>
        <v>0.72567803191193958</v>
      </c>
      <c r="G531" s="18">
        <f ca="1"/>
        <v>0.24722896946358475</v>
      </c>
      <c r="H531" s="18">
        <f ca="1"/>
        <v>0.40579591436278362</v>
      </c>
      <c r="I531" s="18">
        <f ca="1"/>
        <v>0.37180646900916869</v>
      </c>
      <c r="J531" s="18">
        <f ca="1"/>
        <v>0.7037947993540441</v>
      </c>
      <c r="K531" s="18">
        <f ca="1"/>
        <v>0.29463379308575943</v>
      </c>
      <c r="L531" s="18">
        <f ca="1"/>
        <v>0.3036786655643593</v>
      </c>
      <c r="O531" s="12">
        <f ca="1"/>
        <v>1.0087932551292651</v>
      </c>
      <c r="P531" s="13">
        <f ca="1"/>
        <v>0.75015221566960333</v>
      </c>
      <c r="Q531" s="13">
        <f ca="1"/>
        <v>-1.0971265008994067</v>
      </c>
      <c r="R531" s="13">
        <f ca="1"/>
        <v>-0.91220039237946793</v>
      </c>
      <c r="S531" s="13">
        <f ca="1"/>
        <v>-0.86982534054524541</v>
      </c>
      <c r="T531" s="14">
        <f ca="1"/>
        <v>-0.23464749622618786</v>
      </c>
    </row>
    <row r="532" spans="4:20" ht="24" customHeight="1" x14ac:dyDescent="0.3">
      <c r="E532" s="18">
        <f ca="1"/>
        <v>-0.77148849219942983</v>
      </c>
      <c r="F532" s="18">
        <f ca="1"/>
        <v>-0.89258786487350728</v>
      </c>
      <c r="G532" s="18">
        <f ca="1"/>
        <v>0.61077650414124518</v>
      </c>
      <c r="H532" s="18">
        <f ca="1"/>
        <v>-0.23014601126577894</v>
      </c>
      <c r="I532" s="18">
        <f ca="1"/>
        <v>0.76968508841774641</v>
      </c>
      <c r="J532" s="18">
        <f ca="1"/>
        <v>0.30821364390523165</v>
      </c>
      <c r="K532" s="18">
        <f ca="1"/>
        <v>0.84243378293715132</v>
      </c>
      <c r="L532" s="18">
        <f ca="1"/>
        <v>0.9163329635768549</v>
      </c>
      <c r="O532" s="12">
        <f ca="1"/>
        <v>-0.38572877972459318</v>
      </c>
      <c r="P532" s="13">
        <f ca="1"/>
        <v>-1.687917074331204</v>
      </c>
      <c r="Q532" s="13">
        <f ca="1"/>
        <v>-1.1026474249524183</v>
      </c>
      <c r="R532" s="13">
        <f ca="1"/>
        <v>0.29412325661141669</v>
      </c>
      <c r="S532" s="13">
        <f ca="1"/>
        <v>-1.3108304076053769</v>
      </c>
      <c r="T532" s="14">
        <f ca="1"/>
        <v>0.84121387205359766</v>
      </c>
    </row>
    <row r="533" spans="4:20" ht="24" customHeight="1" x14ac:dyDescent="0.3">
      <c r="E533" s="18">
        <f ca="1"/>
        <v>-0.4345259383778064</v>
      </c>
      <c r="F533" s="18">
        <f ca="1"/>
        <v>-2.3157088948797089E-2</v>
      </c>
      <c r="G533" s="18">
        <f ca="1"/>
        <v>0.37057562251414522</v>
      </c>
      <c r="H533" s="18">
        <f ca="1"/>
        <v>0.32902623257652275</v>
      </c>
      <c r="I533" s="18">
        <f ca="1"/>
        <v>-0.24516000609637123</v>
      </c>
      <c r="J533" s="18">
        <f ca="1"/>
        <v>0.95594553489851108</v>
      </c>
      <c r="K533" s="18">
        <f ca="1"/>
        <v>-0.4312957440887013</v>
      </c>
      <c r="L533" s="18">
        <f ca="1"/>
        <v>0.30555239844434778</v>
      </c>
      <c r="O533" s="15">
        <f ca="1"/>
        <v>0.66923615157967586</v>
      </c>
      <c r="P533" s="16">
        <f ca="1"/>
        <v>1.6923229010414643E-2</v>
      </c>
      <c r="Q533" s="16">
        <f ca="1"/>
        <v>-0.87651131976430874</v>
      </c>
      <c r="R533" s="16">
        <f ca="1"/>
        <v>-1.2291409136297731</v>
      </c>
      <c r="S533" s="16">
        <f ca="1"/>
        <v>-1.9954150170592225E-3</v>
      </c>
      <c r="T533" s="17">
        <f ca="1"/>
        <v>-0.38755515682192077</v>
      </c>
    </row>
    <row r="535" spans="4:20" ht="24" customHeight="1" x14ac:dyDescent="0.3">
      <c r="N535" s="7" t="s">
        <v>154</v>
      </c>
      <c r="O535" s="9" cm="1">
        <f t="array" aca="1" ref="O535:T542" ca="1">IF(_xlfn.SEQUENCE(1,6)=1,_xlfn.LET(_xlpm.z,O526:O533,EXP(_xlpm.z)/SUM(EXP(_xlpm.z))),IF(_xlfn.SEQUENCE(1,6)=2,_xlfn.LET(_xlpm.z,P526:P533,EXP(_xlpm.z)/SUM(EXP(_xlpm.z))),IF(_xlfn.SEQUENCE(1,6)=3,_xlfn.LET(_xlpm.z,Q526:Q533,EXP(_xlpm.z)/SUM(EXP(_xlpm.z))),IF(_xlfn.SEQUENCE(1,6)=4,_xlfn.LET(_xlpm.z,R526:R533,EXP(_xlpm.z)/SUM(EXP(_xlpm.z))),IF(_xlfn.SEQUENCE(1,6)=5,_xlfn.LET(_xlpm.z,S526:S533,EXP(_xlpm.z)/SUM(EXP(_xlpm.z))),_xlfn.LET(_xlpm.z,T526:T533,EXP(_xlpm.z)/SUM(EXP(_xlpm.z))))))))</f>
        <v>0.29397789915982409</v>
      </c>
      <c r="P535" s="10">
        <f ca="1"/>
        <v>0.12306454284686905</v>
      </c>
      <c r="Q535" s="10">
        <f ca="1"/>
        <v>0.1287390817302215</v>
      </c>
      <c r="R535" s="10">
        <f ca="1"/>
        <v>0.23623695025802055</v>
      </c>
      <c r="S535" s="10">
        <f ca="1"/>
        <v>9.166750195697361E-2</v>
      </c>
      <c r="T535" s="11">
        <f ca="1"/>
        <v>2.9663011441591301E-2</v>
      </c>
    </row>
    <row r="536" spans="4:20" ht="24" customHeight="1" x14ac:dyDescent="0.3">
      <c r="O536" s="12">
        <f ca="1"/>
        <v>3.3571909020732836E-2</v>
      </c>
      <c r="P536" s="13">
        <f ca="1"/>
        <v>0.34829996288223386</v>
      </c>
      <c r="Q536" s="13">
        <f ca="1"/>
        <v>7.8683983801435903E-2</v>
      </c>
      <c r="R536" s="13">
        <f ca="1"/>
        <v>0.16986775302912596</v>
      </c>
      <c r="S536" s="13">
        <f ca="1"/>
        <v>0.25605503077008435</v>
      </c>
      <c r="T536" s="14">
        <f ca="1"/>
        <v>7.3826981716046541E-3</v>
      </c>
    </row>
    <row r="537" spans="4:20" ht="24" customHeight="1" x14ac:dyDescent="0.3">
      <c r="O537" s="12">
        <f ca="1"/>
        <v>9.6627175990608258E-2</v>
      </c>
      <c r="P537" s="13">
        <f ca="1"/>
        <v>3.2360530158174791E-2</v>
      </c>
      <c r="Q537" s="13">
        <f ca="1"/>
        <v>0.2414425652908902</v>
      </c>
      <c r="R537" s="13">
        <f ca="1"/>
        <v>0.24439947517663632</v>
      </c>
      <c r="S537" s="13">
        <f ca="1"/>
        <v>4.0551265459791069E-2</v>
      </c>
      <c r="T537" s="14">
        <f ca="1"/>
        <v>0.10906767154213748</v>
      </c>
    </row>
    <row r="538" spans="4:20" ht="24" customHeight="1" x14ac:dyDescent="0.3">
      <c r="O538" s="12">
        <f ca="1"/>
        <v>8.9595245187000988E-2</v>
      </c>
      <c r="P538" s="13">
        <f ca="1"/>
        <v>0.10867209450473964</v>
      </c>
      <c r="Q538" s="13">
        <f ca="1"/>
        <v>0.39476414367799217</v>
      </c>
      <c r="R538" s="13">
        <f ca="1"/>
        <v>1.2996863557837286E-2</v>
      </c>
      <c r="S538" s="13">
        <f ca="1"/>
        <v>8.6629207470273681E-2</v>
      </c>
      <c r="T538" s="14">
        <f ca="1"/>
        <v>0.66514746079310261</v>
      </c>
    </row>
    <row r="539" spans="4:20" ht="24" customHeight="1" x14ac:dyDescent="0.3">
      <c r="O539" s="12">
        <f ca="1"/>
        <v>6.980794805986397E-2</v>
      </c>
      <c r="P539" s="13">
        <f ca="1"/>
        <v>0.10728015555780435</v>
      </c>
      <c r="Q539" s="13">
        <f ca="1"/>
        <v>4.0462295308171789E-2</v>
      </c>
      <c r="R539" s="13">
        <f ca="1"/>
        <v>0.21179663080382155</v>
      </c>
      <c r="S539" s="13">
        <f ca="1"/>
        <v>0.3834934291533959</v>
      </c>
      <c r="T539" s="14">
        <f ca="1"/>
        <v>1.5422695348774058E-2</v>
      </c>
    </row>
    <row r="540" spans="4:20" ht="24" customHeight="1" x14ac:dyDescent="0.3">
      <c r="O540" s="12">
        <f ca="1"/>
        <v>0.21245506589856272</v>
      </c>
      <c r="P540" s="13">
        <f ca="1"/>
        <v>0.17881319552063371</v>
      </c>
      <c r="Q540" s="13">
        <f ca="1"/>
        <v>3.5759287280494614E-2</v>
      </c>
      <c r="R540" s="13">
        <f ca="1"/>
        <v>2.4598289565948579E-2</v>
      </c>
      <c r="S540" s="13">
        <f ca="1"/>
        <v>3.5179907460902646E-2</v>
      </c>
      <c r="T540" s="14">
        <f ca="1"/>
        <v>3.6177488625726076E-2</v>
      </c>
    </row>
    <row r="541" spans="4:20" ht="24" customHeight="1" x14ac:dyDescent="0.3">
      <c r="O541" s="12">
        <f ca="1"/>
        <v>5.2678556570962952E-2</v>
      </c>
      <c r="P541" s="13">
        <f ca="1"/>
        <v>1.5615630542236551E-2</v>
      </c>
      <c r="Q541" s="13">
        <f ca="1"/>
        <v>3.5562406951985454E-2</v>
      </c>
      <c r="R541" s="13">
        <f ca="1"/>
        <v>8.2187281159661243E-2</v>
      </c>
      <c r="S541" s="13">
        <f ca="1"/>
        <v>2.2634381188195198E-2</v>
      </c>
      <c r="T541" s="14">
        <f ca="1"/>
        <v>0.10609112901967988</v>
      </c>
    </row>
    <row r="542" spans="4:20" ht="24" customHeight="1" x14ac:dyDescent="0.3">
      <c r="O542" s="15">
        <f ca="1"/>
        <v>0.15128620011244409</v>
      </c>
      <c r="P542" s="16">
        <f ca="1"/>
        <v>8.5893887987308085E-2</v>
      </c>
      <c r="Q542" s="16">
        <f ca="1"/>
        <v>4.4586235958808201E-2</v>
      </c>
      <c r="R542" s="16">
        <f ca="1"/>
        <v>1.7916756448948547E-2</v>
      </c>
      <c r="S542" s="16">
        <f ca="1"/>
        <v>8.378927654038347E-2</v>
      </c>
      <c r="T542" s="17">
        <f ca="1"/>
        <v>3.104784505738389E-2</v>
      </c>
    </row>
    <row r="544" spans="4:20" ht="24" customHeight="1" x14ac:dyDescent="0.3">
      <c r="D544" s="3" t="s">
        <v>155</v>
      </c>
      <c r="N544" s="7" t="s">
        <v>156</v>
      </c>
      <c r="O544" s="8">
        <f ca="1">MATCH(LARGE(O526:O533,1),O526:O533,0)</f>
        <v>1</v>
      </c>
      <c r="P544" s="8">
        <f ca="1">MATCH(LARGE(P526:P533,1),P526:P533,0)</f>
        <v>2</v>
      </c>
      <c r="Q544" s="8">
        <f ca="1">MATCH(LARGE(Q526:Q533,1),Q526:Q533,0)</f>
        <v>4</v>
      </c>
      <c r="R544" s="8">
        <f ca="1">MATCH(LARGE(R526:R533,1),R526:R533,0)</f>
        <v>3</v>
      </c>
      <c r="S544" s="8">
        <f ca="1">MATCH(LARGE(S526:S533,1),S526:S533,0)</f>
        <v>5</v>
      </c>
      <c r="T544" s="8">
        <f ca="1">MATCH(LARGE(T526:T533,1),T526:T533,0)</f>
        <v>4</v>
      </c>
    </row>
    <row r="545" spans="4:20" ht="24" customHeight="1" x14ac:dyDescent="0.3">
      <c r="N545" s="7" t="s">
        <v>157</v>
      </c>
      <c r="O545" s="8">
        <f ca="1">MATCH(LARGE(O526:O533,2),O526:O533,0)</f>
        <v>6</v>
      </c>
      <c r="P545" s="8">
        <f ca="1">MATCH(LARGE(P526:P533,2),P526:P533,0)</f>
        <v>6</v>
      </c>
      <c r="Q545" s="8">
        <f ca="1">MATCH(LARGE(Q526:Q533,2),Q526:Q533,0)</f>
        <v>3</v>
      </c>
      <c r="R545" s="8">
        <f ca="1">MATCH(LARGE(R526:R533,2),R526:R533,0)</f>
        <v>1</v>
      </c>
      <c r="S545" s="8">
        <f ca="1">MATCH(LARGE(S526:S533,2),S526:S533,0)</f>
        <v>2</v>
      </c>
      <c r="T545" s="8">
        <f ca="1">MATCH(LARGE(T526:T533,2),T526:T533,0)</f>
        <v>3</v>
      </c>
    </row>
    <row r="547" spans="4:20" ht="24" customHeight="1" x14ac:dyDescent="0.3">
      <c r="N547" s="7" t="s">
        <v>158</v>
      </c>
      <c r="O547" s="8" cm="1">
        <f t="array" aca="1" ref="O547" ca="1">EXP(INDEX(O526:O533,O544))/(EXP(INDEX(O526:O533,O544))+EXP(INDEX(O526:O533,O545)))</f>
        <v>0.58048728942029137</v>
      </c>
      <c r="P547" s="8" cm="1">
        <f t="array" aca="1" ref="P547" ca="1">EXP(INDEX(P526:P533,P544))/(EXP(INDEX(P526:P533,P544))+EXP(INDEX(P526:P533,P545)))</f>
        <v>0.66076886400933199</v>
      </c>
      <c r="Q547" s="8" cm="1">
        <f t="array" aca="1" ref="Q547" ca="1">EXP(INDEX(Q526:Q533,Q544))/(EXP(INDEX(Q526:Q533,Q544))+EXP(INDEX(Q526:Q533,Q545)))</f>
        <v>0.62049666894867739</v>
      </c>
      <c r="R547" s="8" cm="1">
        <f t="array" aca="1" ref="R547" ca="1">EXP(INDEX(R526:R533,R544))/(EXP(INDEX(R526:R533,R544))+EXP(INDEX(R526:R533,R545)))</f>
        <v>0.50849137153018942</v>
      </c>
      <c r="S547" s="8" cm="1">
        <f t="array" aca="1" ref="S547" ca="1">EXP(INDEX(S526:S533,S544))/(EXP(INDEX(S526:S533,S544))+EXP(INDEX(S526:S533,S545)))</f>
        <v>0.5996315419151812</v>
      </c>
      <c r="T547" s="8" cm="1">
        <f t="array" aca="1" ref="T547" ca="1">EXP(INDEX(T526:T533,T544))/(EXP(INDEX(T526:T533,T544))+EXP(INDEX(T526:T533,T545)))</f>
        <v>0.85912485175385278</v>
      </c>
    </row>
    <row r="548" spans="4:20" ht="24" customHeight="1" x14ac:dyDescent="0.3">
      <c r="N548" s="7" t="s">
        <v>159</v>
      </c>
      <c r="O548" s="8" cm="1">
        <f t="array" aca="1" ref="O548" ca="1">EXP(INDEX(O526:O533,O545))/(EXP(INDEX(O526:O533,O545))+EXP(INDEX(O526:O533,O544)))</f>
        <v>0.41951271057970863</v>
      </c>
      <c r="P548" s="8" cm="1">
        <f t="array" aca="1" ref="P548" ca="1">EXP(INDEX(P526:P533,P545))/(EXP(INDEX(P526:P533,P545))+EXP(INDEX(P526:P533,P544)))</f>
        <v>0.33923113599066801</v>
      </c>
      <c r="Q548" s="8" cm="1">
        <f t="array" aca="1" ref="Q548" ca="1">EXP(INDEX(Q526:Q533,Q545))/(EXP(INDEX(Q526:Q533,Q545))+EXP(INDEX(Q526:Q533,Q544)))</f>
        <v>0.37950333105132256</v>
      </c>
      <c r="R548" s="8" cm="1">
        <f t="array" aca="1" ref="R548" ca="1">EXP(INDEX(R526:R533,R545))/(EXP(INDEX(R526:R533,R545))+EXP(INDEX(R526:R533,R544)))</f>
        <v>0.49150862846981053</v>
      </c>
      <c r="S548" s="8" cm="1">
        <f t="array" aca="1" ref="S548" ca="1">EXP(INDEX(S526:S533,S545))/(EXP(INDEX(S526:S533,S545))+EXP(INDEX(S526:S533,S544)))</f>
        <v>0.4003684580848188</v>
      </c>
      <c r="T548" s="8" cm="1">
        <f t="array" aca="1" ref="T548" ca="1">EXP(INDEX(T526:T533,T545))/(EXP(INDEX(T526:T533,T545))+EXP(INDEX(T526:T533,T544)))</f>
        <v>0.1408751482461473</v>
      </c>
    </row>
    <row r="550" spans="4:20" ht="24" customHeight="1" x14ac:dyDescent="0.3">
      <c r="D550" s="3" t="s">
        <v>160</v>
      </c>
    </row>
    <row r="551" spans="4:20" ht="24" customHeight="1" x14ac:dyDescent="0.3">
      <c r="D551" s="7" t="s">
        <v>161</v>
      </c>
      <c r="E551" s="18" cm="1">
        <f t="array" aca="1" ref="E551:L553" ca="1">(_xlfn.RANDARRAY(F515,F514)-0.5)*2</f>
        <v>-0.67285233608113559</v>
      </c>
      <c r="F551" s="18">
        <f ca="1"/>
        <v>0.79675792154694225</v>
      </c>
      <c r="G551" s="18">
        <f ca="1"/>
        <v>-0.67599887708417494</v>
      </c>
      <c r="H551" s="18">
        <f ca="1"/>
        <v>0.27870567563688331</v>
      </c>
      <c r="I551" s="18">
        <f ca="1"/>
        <v>0.97776286794590028</v>
      </c>
      <c r="J551" s="18">
        <f ca="1"/>
        <v>0.87582130865056218</v>
      </c>
      <c r="K551" s="18">
        <f ca="1"/>
        <v>0.98906347889966773</v>
      </c>
      <c r="L551" s="18">
        <f ca="1"/>
        <v>-0.26296630330138537</v>
      </c>
    </row>
    <row r="552" spans="4:20" ht="24" customHeight="1" x14ac:dyDescent="0.3">
      <c r="E552" s="18">
        <f ca="1"/>
        <v>0.96300608324616643</v>
      </c>
      <c r="F552" s="18">
        <f ca="1"/>
        <v>0.45207110423868269</v>
      </c>
      <c r="G552" s="18">
        <f ca="1"/>
        <v>0.81592401365780098</v>
      </c>
      <c r="H552" s="18">
        <f ca="1"/>
        <v>-0.74009896060789471</v>
      </c>
      <c r="I552" s="18">
        <f ca="1"/>
        <v>0.13704449915040584</v>
      </c>
      <c r="J552" s="18">
        <f ca="1"/>
        <v>-0.81868293532002756</v>
      </c>
      <c r="K552" s="18">
        <f ca="1"/>
        <v>-0.12050478498973805</v>
      </c>
      <c r="L552" s="18">
        <f ca="1"/>
        <v>-6.4951200995831293E-2</v>
      </c>
    </row>
    <row r="553" spans="4:20" ht="24" customHeight="1" x14ac:dyDescent="0.3">
      <c r="E553" s="18">
        <f ca="1"/>
        <v>-0.75978981408826618</v>
      </c>
      <c r="F553" s="18">
        <f ca="1"/>
        <v>7.7852258935521501E-2</v>
      </c>
      <c r="G553" s="18">
        <f ca="1"/>
        <v>-0.76552987602413847</v>
      </c>
      <c r="H553" s="18">
        <f ca="1"/>
        <v>-0.41304360791754746</v>
      </c>
      <c r="I553" s="18">
        <f ca="1"/>
        <v>0.51199145769028576</v>
      </c>
      <c r="J553" s="18">
        <f ca="1"/>
        <v>-0.14797201370330626</v>
      </c>
      <c r="K553" s="18">
        <f ca="1"/>
        <v>0.69671055269144011</v>
      </c>
      <c r="L553" s="18">
        <f ca="1"/>
        <v>4.4334936681242443E-2</v>
      </c>
    </row>
    <row r="555" spans="4:20" ht="24" customHeight="1" x14ac:dyDescent="0.3">
      <c r="D555" s="7" t="s">
        <v>162</v>
      </c>
      <c r="E555" s="18" cm="1">
        <f t="array" aca="1" ref="E555:L557" ca="1">(_xlfn.RANDARRAY(F515,F514)-0.5)*2</f>
        <v>-0.62131727245540702</v>
      </c>
      <c r="F555" s="18">
        <f ca="1"/>
        <v>-0.35025952452903653</v>
      </c>
      <c r="G555" s="18">
        <f ca="1"/>
        <v>-0.46092905975053577</v>
      </c>
      <c r="H555" s="18">
        <f ca="1"/>
        <v>-0.47076348475643037</v>
      </c>
      <c r="I555" s="18">
        <f ca="1"/>
        <v>0.32641194639315074</v>
      </c>
      <c r="J555" s="18">
        <f ca="1"/>
        <v>-0.53621962510903876</v>
      </c>
      <c r="K555" s="18">
        <f ca="1"/>
        <v>-0.87534640395884677</v>
      </c>
      <c r="L555" s="18">
        <f ca="1"/>
        <v>0.33597558895098123</v>
      </c>
    </row>
    <row r="556" spans="4:20" ht="24" customHeight="1" x14ac:dyDescent="0.3">
      <c r="E556" s="18">
        <f ca="1"/>
        <v>-0.80313194703562329</v>
      </c>
      <c r="F556" s="18">
        <f ca="1"/>
        <v>0.64222797225299377</v>
      </c>
      <c r="G556" s="18">
        <f ca="1"/>
        <v>-0.20875351699445011</v>
      </c>
      <c r="H556" s="18">
        <f ca="1"/>
        <v>0.93466397525415656</v>
      </c>
      <c r="I556" s="18">
        <f ca="1"/>
        <v>0.27382592989410171</v>
      </c>
      <c r="J556" s="18">
        <f ca="1"/>
        <v>-0.96736823985807163</v>
      </c>
      <c r="K556" s="18">
        <f ca="1"/>
        <v>9.2895315877323803E-2</v>
      </c>
      <c r="L556" s="18">
        <f ca="1"/>
        <v>0.95365498546048677</v>
      </c>
    </row>
    <row r="557" spans="4:20" ht="24" customHeight="1" x14ac:dyDescent="0.3">
      <c r="E557" s="18">
        <f ca="1"/>
        <v>0.26244033162816072</v>
      </c>
      <c r="F557" s="18">
        <f ca="1"/>
        <v>0.73068299151054861</v>
      </c>
      <c r="G557" s="18">
        <f ca="1"/>
        <v>-0.56677146234274867</v>
      </c>
      <c r="H557" s="18">
        <f ca="1"/>
        <v>0.51809708345862804</v>
      </c>
      <c r="I557" s="18">
        <f ca="1"/>
        <v>-0.79162766147215669</v>
      </c>
      <c r="J557" s="18">
        <f ca="1"/>
        <v>-0.67780730025584379</v>
      </c>
      <c r="K557" s="18">
        <f ca="1"/>
        <v>-5.6814357776023616E-2</v>
      </c>
      <c r="L557" s="18">
        <f ca="1"/>
        <v>-0.25768653608967362</v>
      </c>
    </row>
    <row r="559" spans="4:20" ht="24" customHeight="1" x14ac:dyDescent="0.3">
      <c r="D559" s="7" t="s">
        <v>163</v>
      </c>
      <c r="E559" s="18" cm="1">
        <f t="array" aca="1" ref="E559:G566" ca="1">(_xlfn.RANDARRAY(F514,F515)-0.5)*2</f>
        <v>0.84114608468127061</v>
      </c>
      <c r="F559" s="18">
        <f ca="1"/>
        <v>0.32178219696779875</v>
      </c>
      <c r="G559" s="18">
        <f ca="1"/>
        <v>0.87833927065236184</v>
      </c>
      <c r="N559" s="7" t="s">
        <v>164</v>
      </c>
      <c r="O559" s="9" cm="1">
        <f t="array" aca="1" ref="O559:T566" ca="1">MMULT(_xlfn.ANCHORARRAY(E559),(MMULT(_xlfn.ANCHORARRAY(E551),_xlfn.ANCHORARRAY(O516))/(1+EXP(-MMULT(_xlfn.ANCHORARRAY(E551),_xlfn.ANCHORARRAY(O516)))))*MMULT(_xlfn.ANCHORARRAY(E555),_xlfn.ANCHORARRAY(O516)))</f>
        <v>0.68660262212557577</v>
      </c>
      <c r="P559" s="10">
        <f ca="1"/>
        <v>-0.49071252158389767</v>
      </c>
      <c r="Q559" s="10">
        <f ca="1"/>
        <v>-0.28905745351784912</v>
      </c>
      <c r="R559" s="10">
        <f ca="1"/>
        <v>0.3173752320313078</v>
      </c>
      <c r="S559" s="10">
        <f ca="1"/>
        <v>-0.1130397652416517</v>
      </c>
      <c r="T559" s="11">
        <f ca="1"/>
        <v>-0.14557987998814537</v>
      </c>
    </row>
    <row r="560" spans="4:20" ht="24" customHeight="1" x14ac:dyDescent="0.3">
      <c r="E560" s="18">
        <f ca="1"/>
        <v>-0.45076997128181473</v>
      </c>
      <c r="F560" s="18">
        <f ca="1"/>
        <v>0.59403506679160012</v>
      </c>
      <c r="G560" s="18">
        <f ca="1"/>
        <v>9.4189650949859871E-2</v>
      </c>
      <c r="O560" s="12">
        <f ca="1"/>
        <v>-0.6780341576196609</v>
      </c>
      <c r="P560" s="13">
        <f ca="1"/>
        <v>0.16763278724211683</v>
      </c>
      <c r="Q560" s="13">
        <f ca="1"/>
        <v>0.44948818023501358</v>
      </c>
      <c r="R560" s="13">
        <f ca="1"/>
        <v>-1.6977485508213735E-2</v>
      </c>
      <c r="S560" s="13">
        <f ca="1"/>
        <v>-0.11987083097331519</v>
      </c>
      <c r="T560" s="14">
        <f ca="1"/>
        <v>1.2427660629285582</v>
      </c>
    </row>
    <row r="561" spans="4:20" ht="24" customHeight="1" x14ac:dyDescent="0.3">
      <c r="E561" s="18">
        <f ca="1"/>
        <v>-0.52201514555531459</v>
      </c>
      <c r="F561" s="18">
        <f ca="1"/>
        <v>0.26502776726883726</v>
      </c>
      <c r="G561" s="18">
        <f ca="1"/>
        <v>-0.56143598051779442</v>
      </c>
      <c r="O561" s="12">
        <f ca="1"/>
        <v>-0.77011066778189696</v>
      </c>
      <c r="P561" s="13">
        <f ca="1"/>
        <v>0.30656146267317036</v>
      </c>
      <c r="Q561" s="13">
        <f ca="1"/>
        <v>0.34890926338282058</v>
      </c>
      <c r="R561" s="13">
        <f ca="1"/>
        <v>-0.25985999848803687</v>
      </c>
      <c r="S561" s="13">
        <f ca="1"/>
        <v>4.6664116532896774E-2</v>
      </c>
      <c r="T561" s="14">
        <f ca="1"/>
        <v>0.87474406753382405</v>
      </c>
    </row>
    <row r="562" spans="4:20" ht="24" customHeight="1" x14ac:dyDescent="0.3">
      <c r="E562" s="18">
        <f ca="1"/>
        <v>0.27831068538941439</v>
      </c>
      <c r="F562" s="18">
        <f ca="1"/>
        <v>0.11933401888913187</v>
      </c>
      <c r="G562" s="18">
        <f ca="1"/>
        <v>0.35667000277252114</v>
      </c>
      <c r="O562" s="12">
        <f ca="1"/>
        <v>0.24656486538694233</v>
      </c>
      <c r="P562" s="13">
        <f ca="1"/>
        <v>-0.17339517921703521</v>
      </c>
      <c r="Q562" s="13">
        <f ca="1"/>
        <v>-8.9263102642646142E-2</v>
      </c>
      <c r="R562" s="13">
        <f ca="1"/>
        <v>0.13213034359768216</v>
      </c>
      <c r="S562" s="13">
        <f ca="1"/>
        <v>-5.397581189447484E-2</v>
      </c>
      <c r="T562" s="14">
        <f ca="1"/>
        <v>-4.0944589400858614E-2</v>
      </c>
    </row>
    <row r="563" spans="4:20" ht="24" customHeight="1" x14ac:dyDescent="0.3">
      <c r="E563" s="18">
        <f ca="1"/>
        <v>-0.88999804340771105</v>
      </c>
      <c r="F563" s="18">
        <f ca="1"/>
        <v>-0.35779676295041307</v>
      </c>
      <c r="G563" s="18">
        <f ca="1"/>
        <v>0.41712296581568964</v>
      </c>
      <c r="O563" s="12">
        <f ca="1"/>
        <v>-0.12857055365848064</v>
      </c>
      <c r="P563" s="13">
        <f ca="1"/>
        <v>0.29473361654983654</v>
      </c>
      <c r="Q563" s="13">
        <f ca="1"/>
        <v>0.33361407545756028</v>
      </c>
      <c r="R563" s="13">
        <f ca="1"/>
        <v>0.25060271061132006</v>
      </c>
      <c r="S563" s="13">
        <f ca="1"/>
        <v>-0.20177160083042772</v>
      </c>
      <c r="T563" s="14">
        <f ca="1"/>
        <v>-0.16848404815748258</v>
      </c>
    </row>
    <row r="564" spans="4:20" ht="24" customHeight="1" x14ac:dyDescent="0.3">
      <c r="E564" s="18">
        <f ca="1"/>
        <v>-0.10632377646090463</v>
      </c>
      <c r="F564" s="18">
        <f ca="1"/>
        <v>-0.57939910209964474</v>
      </c>
      <c r="G564" s="18">
        <f ca="1"/>
        <v>0.2286672294833334</v>
      </c>
      <c r="O564" s="12">
        <f ca="1"/>
        <v>0.45143201683032746</v>
      </c>
      <c r="P564" s="13">
        <f ca="1"/>
        <v>6.1993227568372389E-3</v>
      </c>
      <c r="Q564" s="13">
        <f ca="1"/>
        <v>-0.15185113270891454</v>
      </c>
      <c r="R564" s="13">
        <f ca="1"/>
        <v>0.17199163669093692</v>
      </c>
      <c r="S564" s="13">
        <f ca="1"/>
        <v>-3.5283379368419243E-2</v>
      </c>
      <c r="T564" s="14">
        <f ca="1"/>
        <v>-0.96079050522970222</v>
      </c>
    </row>
    <row r="565" spans="4:20" ht="24" customHeight="1" x14ac:dyDescent="0.3">
      <c r="E565" s="18">
        <f ca="1"/>
        <v>0.67473890613592102</v>
      </c>
      <c r="F565" s="18">
        <f ca="1"/>
        <v>0.61840386165475136</v>
      </c>
      <c r="G565" s="18">
        <f ca="1"/>
        <v>-0.4361727238259574</v>
      </c>
      <c r="O565" s="12">
        <f ca="1"/>
        <v>-0.20632860629654826</v>
      </c>
      <c r="P565" s="13">
        <f ca="1"/>
        <v>-0.20397230400732841</v>
      </c>
      <c r="Q565" s="13">
        <f ca="1"/>
        <v>-0.12902336824767183</v>
      </c>
      <c r="R565" s="13">
        <f ca="1"/>
        <v>-0.28372674202699</v>
      </c>
      <c r="S565" s="13">
        <f ca="1"/>
        <v>0.16121986399687149</v>
      </c>
      <c r="T565" s="14">
        <f ca="1"/>
        <v>0.73714631082460524</v>
      </c>
    </row>
    <row r="566" spans="4:20" ht="24" customHeight="1" x14ac:dyDescent="0.3">
      <c r="E566" s="18">
        <f ca="1"/>
        <v>0.63647538864071151</v>
      </c>
      <c r="F566" s="18">
        <f ca="1"/>
        <v>0.11845136953492919</v>
      </c>
      <c r="G566" s="18">
        <f ca="1"/>
        <v>0.1351262215192075</v>
      </c>
      <c r="O566" s="15">
        <f ca="1"/>
        <v>0.37999464225123392</v>
      </c>
      <c r="P566" s="16">
        <f ca="1"/>
        <v>-0.28283759379067847</v>
      </c>
      <c r="Q566" s="16">
        <f ca="1"/>
        <v>-0.27785472997188321</v>
      </c>
      <c r="R566" s="16">
        <f ca="1"/>
        <v>2.5381022515659164E-2</v>
      </c>
      <c r="S566" s="16">
        <f ca="1"/>
        <v>4.8618482265220184E-2</v>
      </c>
      <c r="T566" s="17">
        <f ca="1"/>
        <v>-0.20485905851364181</v>
      </c>
    </row>
    <row r="568" spans="4:20" ht="24" customHeight="1" x14ac:dyDescent="0.3">
      <c r="D568" s="1" t="s">
        <v>165</v>
      </c>
    </row>
    <row r="569" spans="4:20" ht="24" customHeight="1" x14ac:dyDescent="0.3">
      <c r="D569" s="1" t="s">
        <v>166</v>
      </c>
    </row>
    <row r="570" spans="4:20" ht="24" customHeight="1" x14ac:dyDescent="0.3">
      <c r="D570" s="1" t="s">
        <v>167</v>
      </c>
    </row>
    <row r="580" spans="1:131" ht="48" customHeight="1" thickBot="1" x14ac:dyDescent="0.95">
      <c r="A580" s="5" t="s">
        <v>168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  <c r="DK580" s="6"/>
      <c r="DL580" s="6"/>
      <c r="DM580" s="6"/>
      <c r="DN580" s="6"/>
      <c r="DO580" s="6"/>
      <c r="DP580" s="6"/>
      <c r="DQ580" s="6"/>
      <c r="DR580" s="6"/>
      <c r="DS580" s="6"/>
      <c r="DT580" s="6"/>
      <c r="DU580" s="6"/>
      <c r="DV580" s="6"/>
      <c r="DW580" s="6"/>
      <c r="DX580" s="6"/>
      <c r="DY580" s="6"/>
      <c r="DZ580" s="6"/>
      <c r="EA580" s="6"/>
    </row>
    <row r="581" spans="1:131" ht="24" customHeight="1" thickTop="1" x14ac:dyDescent="0.3"/>
    <row r="583" spans="1:131" ht="24" customHeight="1" x14ac:dyDescent="0.3">
      <c r="E583" s="7" t="s">
        <v>4</v>
      </c>
      <c r="F583" s="8">
        <v>6</v>
      </c>
      <c r="N583" s="7" t="s">
        <v>8</v>
      </c>
      <c r="O583" s="8" cm="1">
        <f t="array" ref="O583:T583">_xlfn.SEQUENCE(1,F583,1)</f>
        <v>1</v>
      </c>
      <c r="P583" s="8">
        <v>2</v>
      </c>
      <c r="Q583" s="8">
        <v>3</v>
      </c>
      <c r="R583" s="8">
        <v>4</v>
      </c>
      <c r="S583" s="8">
        <v>5</v>
      </c>
      <c r="T583" s="8">
        <v>6</v>
      </c>
    </row>
    <row r="584" spans="1:131" ht="24" customHeight="1" x14ac:dyDescent="0.3">
      <c r="E584" s="7" t="s">
        <v>5</v>
      </c>
      <c r="F584" s="8">
        <v>8</v>
      </c>
    </row>
    <row r="585" spans="1:131" ht="24" customHeight="1" x14ac:dyDescent="0.3">
      <c r="E585" s="7" t="s">
        <v>134</v>
      </c>
      <c r="F585" s="8">
        <v>8</v>
      </c>
      <c r="O585" s="8" t="str" cm="1">
        <f t="array" ref="O585:T585">"x"&amp;_xlfn.ANCHORARRAY(O583)</f>
        <v>x1</v>
      </c>
      <c r="P585" s="8" t="str">
        <v>x2</v>
      </c>
      <c r="Q585" s="8" t="str">
        <v>x3</v>
      </c>
      <c r="R585" s="8" t="str">
        <v>x4</v>
      </c>
      <c r="S585" s="8" t="str">
        <v>x5</v>
      </c>
      <c r="T585" s="8" t="str">
        <v>x6</v>
      </c>
    </row>
    <row r="586" spans="1:131" ht="24" customHeight="1" x14ac:dyDescent="0.3">
      <c r="E586" s="7" t="s">
        <v>135</v>
      </c>
      <c r="F586" s="8">
        <v>2</v>
      </c>
      <c r="N586" s="7" t="s">
        <v>9</v>
      </c>
      <c r="O586" s="9" cm="1">
        <f t="array" aca="1" ref="O586:T593" ca="1">(_xlfn.RANDARRAY(F584,F583)-0.5)*2</f>
        <v>-0.98899100291408049</v>
      </c>
      <c r="P586" s="10">
        <f ca="1"/>
        <v>-0.6628677664055922</v>
      </c>
      <c r="Q586" s="10">
        <f ca="1"/>
        <v>-0.86476858689008251</v>
      </c>
      <c r="R586" s="10">
        <f ca="1"/>
        <v>-0.6709588612599342</v>
      </c>
      <c r="S586" s="10">
        <f ca="1"/>
        <v>-0.99362479435418649</v>
      </c>
      <c r="T586" s="11">
        <f ca="1"/>
        <v>0.51889413855887234</v>
      </c>
    </row>
    <row r="587" spans="1:131" ht="24" customHeight="1" x14ac:dyDescent="0.3">
      <c r="E587" s="7" t="s">
        <v>169</v>
      </c>
      <c r="F587" s="8">
        <v>0.75</v>
      </c>
      <c r="O587" s="12">
        <f ca="1"/>
        <v>0.56489845968910668</v>
      </c>
      <c r="P587" s="13">
        <f ca="1"/>
        <v>0.76746577305899732</v>
      </c>
      <c r="Q587" s="13">
        <f ca="1"/>
        <v>0.77141992594458708</v>
      </c>
      <c r="R587" s="13">
        <f ca="1"/>
        <v>0.85693727240546025</v>
      </c>
      <c r="S587" s="13">
        <f ca="1"/>
        <v>0.75980652445468921</v>
      </c>
      <c r="T587" s="14">
        <f ca="1"/>
        <v>-0.13712871357086698</v>
      </c>
    </row>
    <row r="588" spans="1:131" ht="24" customHeight="1" x14ac:dyDescent="0.3">
      <c r="O588" s="12">
        <f ca="1"/>
        <v>0.71964140619070038</v>
      </c>
      <c r="P588" s="13">
        <f ca="1"/>
        <v>-0.99932510105851913</v>
      </c>
      <c r="Q588" s="13">
        <f ca="1"/>
        <v>0.30831595950893487</v>
      </c>
      <c r="R588" s="13">
        <f ca="1"/>
        <v>-0.23056480881042152</v>
      </c>
      <c r="S588" s="13">
        <f ca="1"/>
        <v>-0.40151935502803893</v>
      </c>
      <c r="T588" s="14">
        <f ca="1"/>
        <v>-0.51530372692421667</v>
      </c>
    </row>
    <row r="589" spans="1:131" ht="24" customHeight="1" x14ac:dyDescent="0.3">
      <c r="O589" s="12">
        <f ca="1"/>
        <v>0.64821404729747867</v>
      </c>
      <c r="P589" s="13">
        <f ca="1"/>
        <v>-0.70752752275819342</v>
      </c>
      <c r="Q589" s="13">
        <f ca="1"/>
        <v>-0.83251606386234389</v>
      </c>
      <c r="R589" s="13">
        <f ca="1"/>
        <v>-0.9998184473888716</v>
      </c>
      <c r="S589" s="13">
        <f ca="1"/>
        <v>-0.9674784914868626</v>
      </c>
      <c r="T589" s="14">
        <f ca="1"/>
        <v>0.14645332038232262</v>
      </c>
    </row>
    <row r="590" spans="1:131" ht="24" customHeight="1" x14ac:dyDescent="0.3">
      <c r="O590" s="12">
        <f ca="1"/>
        <v>-0.84977885629256367</v>
      </c>
      <c r="P590" s="13">
        <f ca="1"/>
        <v>0.8063250585066557</v>
      </c>
      <c r="Q590" s="13">
        <f ca="1"/>
        <v>0.95640264729120128</v>
      </c>
      <c r="R590" s="13">
        <f ca="1"/>
        <v>-0.48302789563785042</v>
      </c>
      <c r="S590" s="13">
        <f ca="1"/>
        <v>0.40130871436263726</v>
      </c>
      <c r="T590" s="14">
        <f ca="1"/>
        <v>0.8518379294594145</v>
      </c>
    </row>
    <row r="591" spans="1:131" ht="24" customHeight="1" x14ac:dyDescent="0.3">
      <c r="O591" s="12">
        <f ca="1"/>
        <v>0.4002146552684005</v>
      </c>
      <c r="P591" s="13">
        <f ca="1"/>
        <v>0.50108396109129449</v>
      </c>
      <c r="Q591" s="13">
        <f ca="1"/>
        <v>-0.81293261634136771</v>
      </c>
      <c r="R591" s="13">
        <f ca="1"/>
        <v>0.14484952188366007</v>
      </c>
      <c r="S591" s="13">
        <f ca="1"/>
        <v>-0.44905545535004565</v>
      </c>
      <c r="T591" s="14">
        <f ca="1"/>
        <v>0.61347126214054937</v>
      </c>
    </row>
    <row r="592" spans="1:131" ht="24" customHeight="1" x14ac:dyDescent="0.3">
      <c r="O592" s="12">
        <f ca="1"/>
        <v>-0.56185449537865617</v>
      </c>
      <c r="P592" s="13">
        <f ca="1"/>
        <v>-0.13087085696854306</v>
      </c>
      <c r="Q592" s="13">
        <f ca="1"/>
        <v>-0.1451788458317913</v>
      </c>
      <c r="R592" s="13">
        <f ca="1"/>
        <v>-0.80741254413844565</v>
      </c>
      <c r="S592" s="13">
        <f ca="1"/>
        <v>0.60990769055697136</v>
      </c>
      <c r="T592" s="14">
        <f ca="1"/>
        <v>0.87910754409436231</v>
      </c>
    </row>
    <row r="593" spans="4:20" ht="24" customHeight="1" x14ac:dyDescent="0.3">
      <c r="O593" s="15">
        <f ca="1"/>
        <v>0.92167891117876488</v>
      </c>
      <c r="P593" s="16">
        <f ca="1"/>
        <v>0.46004003989846831</v>
      </c>
      <c r="Q593" s="16">
        <f ca="1"/>
        <v>0.52430040406324263</v>
      </c>
      <c r="R593" s="16">
        <f ca="1"/>
        <v>-0.79515580468601454</v>
      </c>
      <c r="S593" s="16">
        <f ca="1"/>
        <v>0.23843746614575956</v>
      </c>
      <c r="T593" s="17">
        <f ca="1"/>
        <v>-0.98117629965662356</v>
      </c>
    </row>
    <row r="595" spans="4:20" ht="24" customHeight="1" x14ac:dyDescent="0.3">
      <c r="D595" s="3" t="s">
        <v>144</v>
      </c>
    </row>
    <row r="596" spans="4:20" ht="24" customHeight="1" x14ac:dyDescent="0.3">
      <c r="D596" s="7" t="s">
        <v>145</v>
      </c>
      <c r="E596" s="18" cm="1">
        <f t="array" aca="1" ref="E596:L603" ca="1">(_xlfn.RANDARRAY(F585,F584)-0.5)*2</f>
        <v>0.20181640504835574</v>
      </c>
      <c r="F596" s="18">
        <f ca="1"/>
        <v>-0.6251164031957086</v>
      </c>
      <c r="G596" s="18">
        <f ca="1"/>
        <v>0.16793467494483494</v>
      </c>
      <c r="H596" s="18">
        <f ca="1"/>
        <v>0.59705383644248222</v>
      </c>
      <c r="I596" s="18">
        <f ca="1"/>
        <v>0.51318535608937976</v>
      </c>
      <c r="J596" s="18">
        <f ca="1"/>
        <v>0.27356707048739715</v>
      </c>
      <c r="K596" s="18">
        <f ca="1"/>
        <v>0.20436828115073213</v>
      </c>
      <c r="L596" s="18">
        <f ca="1"/>
        <v>-0.23401513622954528</v>
      </c>
      <c r="N596" s="7" t="s">
        <v>153</v>
      </c>
      <c r="O596" s="9" cm="1">
        <f t="array" aca="1" ref="O596:T603" ca="1">MMULT(_xlfn.ANCHORARRAY(E596),_xlfn.ANCHORARRAY(O586))</f>
        <v>-0.7019710403171614</v>
      </c>
      <c r="P596" s="10">
        <f ca="1"/>
        <v>-0.78731429225254157</v>
      </c>
      <c r="Q596" s="10">
        <f ca="1"/>
        <v>-0.98597564915881064</v>
      </c>
      <c r="R596" s="10">
        <f ca="1"/>
        <v>-1.4939491199146522</v>
      </c>
      <c r="S596" s="10">
        <f ca="1"/>
        <v>-1.168616292710853</v>
      </c>
      <c r="T596" s="11">
        <f ca="1"/>
        <v>1.2055940010966331</v>
      </c>
    </row>
    <row r="597" spans="4:20" ht="24" customHeight="1" x14ac:dyDescent="0.3">
      <c r="E597" s="18">
        <f ca="1"/>
        <v>0.96715248173715773</v>
      </c>
      <c r="F597" s="18">
        <f ca="1"/>
        <v>0.95273961995913359</v>
      </c>
      <c r="G597" s="18">
        <f ca="1"/>
        <v>-0.73213105671290535</v>
      </c>
      <c r="H597" s="18">
        <f ca="1"/>
        <v>0.94181512024861158</v>
      </c>
      <c r="I597" s="18">
        <f ca="1"/>
        <v>0.72109914975715927</v>
      </c>
      <c r="J597" s="18">
        <f ca="1"/>
        <v>0.59039923733579025</v>
      </c>
      <c r="K597" s="18">
        <f ca="1"/>
        <v>3.5672670852317179E-2</v>
      </c>
      <c r="L597" s="18">
        <f ca="1"/>
        <v>0.76237893130115753</v>
      </c>
      <c r="O597" s="12">
        <f ca="1"/>
        <v>-2.8540642037184094E-2</v>
      </c>
      <c r="P597" s="13">
        <f ca="1"/>
        <v>1.3787138904804057</v>
      </c>
      <c r="Q597" s="13">
        <f ca="1"/>
        <v>-0.50696166025560063</v>
      </c>
      <c r="R597" s="13">
        <f ca="1"/>
        <v>-1.5031264628382308</v>
      </c>
      <c r="S597" s="13">
        <f ca="1"/>
        <v>-0.62651187725928703</v>
      </c>
      <c r="T597" s="14">
        <f ca="1"/>
        <v>1.1461881563542102</v>
      </c>
    </row>
    <row r="598" spans="4:20" ht="24" customHeight="1" x14ac:dyDescent="0.3">
      <c r="E598" s="18">
        <f ca="1"/>
        <v>0.87009896225667394</v>
      </c>
      <c r="F598" s="18">
        <f ca="1"/>
        <v>-0.94293516475626005</v>
      </c>
      <c r="G598" s="18">
        <f ca="1"/>
        <v>-0.12672454180099502</v>
      </c>
      <c r="H598" s="18">
        <f ca="1"/>
        <v>-0.57946002383523787</v>
      </c>
      <c r="I598" s="18">
        <f ca="1"/>
        <v>-0.55742483074124927</v>
      </c>
      <c r="J598" s="18">
        <f ca="1"/>
        <v>0.36309003213714908</v>
      </c>
      <c r="K598" s="18">
        <f ca="1"/>
        <v>-0.80245025103707457</v>
      </c>
      <c r="L598" s="18">
        <f ca="1"/>
        <v>-0.89055309196504329</v>
      </c>
      <c r="O598" s="12">
        <f ca="1"/>
        <v>-1.610934958338883</v>
      </c>
      <c r="P598" s="13">
        <f ca="1"/>
        <v>-1.3360078357395682</v>
      </c>
      <c r="Q598" s="13">
        <f ca="1"/>
        <v>-2.2152035037554172</v>
      </c>
      <c r="R598" s="13">
        <f ca="1"/>
        <v>0.89461816378267001</v>
      </c>
      <c r="S598" s="13">
        <f ca="1"/>
        <v>-2.0580115307387179</v>
      </c>
      <c r="T598" s="14">
        <f ca="1"/>
        <v>0.477489726381089</v>
      </c>
    </row>
    <row r="599" spans="4:20" ht="24" customHeight="1" x14ac:dyDescent="0.3">
      <c r="E599" s="18">
        <f ca="1"/>
        <v>0.87816148064805732</v>
      </c>
      <c r="F599" s="18">
        <f ca="1"/>
        <v>0.1835987318786807</v>
      </c>
      <c r="G599" s="18">
        <f ca="1"/>
        <v>0.16448761928785505</v>
      </c>
      <c r="H599" s="18">
        <f ca="1"/>
        <v>0.94237303393152949</v>
      </c>
      <c r="I599" s="18">
        <f ca="1"/>
        <v>0.91669773882989425</v>
      </c>
      <c r="J599" s="18">
        <f ca="1"/>
        <v>0.12527293831620234</v>
      </c>
      <c r="K599" s="18">
        <f ca="1"/>
        <v>-0.28210966840048401</v>
      </c>
      <c r="L599" s="18">
        <f ca="1"/>
        <v>0.37818209843983519</v>
      </c>
      <c r="O599" s="12">
        <f ca="1"/>
        <v>-0.25733486274170914</v>
      </c>
      <c r="P599" s="13">
        <f ca="1"/>
        <v>-0.25950320174429853</v>
      </c>
      <c r="Q599" s="13">
        <f ca="1"/>
        <v>-0.33747020350409757</v>
      </c>
      <c r="R599" s="13">
        <f ca="1"/>
        <v>-1.9095842909004892</v>
      </c>
      <c r="S599" s="13">
        <f ca="1"/>
        <v>-1.4810978907221071</v>
      </c>
      <c r="T599" s="14">
        <f ca="1"/>
        <v>0.72240996537628499</v>
      </c>
    </row>
    <row r="600" spans="4:20" ht="24" customHeight="1" x14ac:dyDescent="0.3">
      <c r="E600" s="18">
        <f ca="1"/>
        <v>0.2032642684399466</v>
      </c>
      <c r="F600" s="18">
        <f ca="1"/>
        <v>-0.83931870936440944</v>
      </c>
      <c r="G600" s="18">
        <f ca="1"/>
        <v>0.29656424890528532</v>
      </c>
      <c r="H600" s="18">
        <f ca="1"/>
        <v>0.48518391625459101</v>
      </c>
      <c r="I600" s="18">
        <f ca="1"/>
        <v>-0.49527219125106381</v>
      </c>
      <c r="J600" s="18">
        <f ca="1"/>
        <v>5.0243516514704822E-2</v>
      </c>
      <c r="K600" s="18">
        <f ca="1"/>
        <v>-0.15605436161914232</v>
      </c>
      <c r="L600" s="18">
        <f ca="1"/>
        <v>-0.73112715117666349</v>
      </c>
      <c r="O600" s="12">
        <f ca="1"/>
        <v>-0.29243803981643812</v>
      </c>
      <c r="P600" s="13">
        <f ca="1"/>
        <v>-2.1086297401657172</v>
      </c>
      <c r="Q600" s="13">
        <f ca="1"/>
        <v>-2.0109303409115369</v>
      </c>
      <c r="R600" s="13">
        <f ca="1"/>
        <v>-0.45523027575213604</v>
      </c>
      <c r="S600" s="13">
        <f ca="1"/>
        <v>-1.9189955699075023</v>
      </c>
      <c r="T600" s="14">
        <f ca="1"/>
        <v>0.32791084691956829</v>
      </c>
    </row>
    <row r="601" spans="4:20" ht="24" customHeight="1" x14ac:dyDescent="0.3">
      <c r="E601" s="18">
        <f ca="1"/>
        <v>0.94226004007965924</v>
      </c>
      <c r="F601" s="18">
        <f ca="1"/>
        <v>-0.62419151722370581</v>
      </c>
      <c r="G601" s="18">
        <f ca="1"/>
        <v>-0.57304015032570632</v>
      </c>
      <c r="H601" s="18">
        <f ca="1"/>
        <v>0.10661685516673414</v>
      </c>
      <c r="I601" s="18">
        <f ca="1"/>
        <v>0.1619904599240316</v>
      </c>
      <c r="J601" s="18">
        <f ca="1"/>
        <v>0.93815468559292015</v>
      </c>
      <c r="K601" s="18">
        <f ca="1"/>
        <v>0.20742620872015705</v>
      </c>
      <c r="L601" s="18">
        <f ca="1"/>
        <v>0.77599217450128544</v>
      </c>
      <c r="O601" s="12">
        <f ca="1"/>
        <v>-0.79128494409401495</v>
      </c>
      <c r="P601" s="13">
        <f ca="1"/>
        <v>0.32413227154518076</v>
      </c>
      <c r="Q601" s="13">
        <f ca="1"/>
        <v>-1.7927776510452569</v>
      </c>
      <c r="R601" s="13">
        <f ca="1"/>
        <v>-1.8684531637874595</v>
      </c>
      <c r="S601" s="13">
        <f ca="1"/>
        <v>-1.3283193770460575</v>
      </c>
      <c r="T601" s="14">
        <f ca="1"/>
        <v>1.0199172807789951</v>
      </c>
    </row>
    <row r="602" spans="4:20" ht="24" customHeight="1" x14ac:dyDescent="0.3">
      <c r="E602" s="18">
        <f ca="1"/>
        <v>-2.0354243769778346E-2</v>
      </c>
      <c r="F602" s="18">
        <f ca="1"/>
        <v>0.92096741867647713</v>
      </c>
      <c r="G602" s="18">
        <f ca="1"/>
        <v>-0.47828348441047641</v>
      </c>
      <c r="H602" s="18">
        <f ca="1"/>
        <v>-0.63541880150469776</v>
      </c>
      <c r="I602" s="18">
        <f ca="1"/>
        <v>-0.72017883481568834</v>
      </c>
      <c r="J602" s="18">
        <f ca="1"/>
        <v>0.67646601469457401</v>
      </c>
      <c r="K602" s="18">
        <f ca="1"/>
        <v>0.51679844940503683</v>
      </c>
      <c r="L602" s="18">
        <f ca="1"/>
        <v>0.56536891481110896</v>
      </c>
      <c r="O602" s="12">
        <f ca="1"/>
        <v>0.89775068112445711</v>
      </c>
      <c r="P602" s="13">
        <f ca="1"/>
        <v>1.5985666372191476</v>
      </c>
      <c r="Q602" s="13">
        <f ca="1"/>
        <v>9.228097338980279E-2</v>
      </c>
      <c r="R602" s="13">
        <f ca="1"/>
        <v>1.127473268279888</v>
      </c>
      <c r="S602" s="13">
        <f ca="1"/>
        <v>1.3839953182003943</v>
      </c>
      <c r="T602" s="14">
        <f ca="1"/>
        <v>-0.28233905820845412</v>
      </c>
    </row>
    <row r="603" spans="4:20" ht="24" customHeight="1" x14ac:dyDescent="0.3">
      <c r="E603" s="18">
        <f ca="1"/>
        <v>-0.59349897391035666</v>
      </c>
      <c r="F603" s="18">
        <f ca="1"/>
        <v>0.78783207237512087</v>
      </c>
      <c r="G603" s="18">
        <f ca="1"/>
        <v>4.5197879982301181E-2</v>
      </c>
      <c r="H603" s="18">
        <f ca="1"/>
        <v>0.5125369227490828</v>
      </c>
      <c r="I603" s="18">
        <f ca="1"/>
        <v>0.21359843021466274</v>
      </c>
      <c r="J603" s="18">
        <f ca="1"/>
        <v>0.60446796911212353</v>
      </c>
      <c r="K603" s="18">
        <f ca="1"/>
        <v>-0.25792313895040042</v>
      </c>
      <c r="L603" s="18">
        <f ca="1"/>
        <v>0.96264016537536135</v>
      </c>
      <c r="O603" s="15">
        <f ca="1"/>
        <v>2.4893360933132049</v>
      </c>
      <c r="P603" s="16">
        <f ca="1"/>
        <v>1.5419707477791886</v>
      </c>
      <c r="Q603" s="16">
        <f ca="1"/>
        <v>0.96328062193050501</v>
      </c>
      <c r="R603" s="16">
        <f ca="1"/>
        <v>-2.2344489428969938E-2</v>
      </c>
      <c r="S603" s="16">
        <f ca="1"/>
        <v>0.56079842032359917</v>
      </c>
      <c r="T603" s="17">
        <f ca="1"/>
        <v>-0.9827123593933158</v>
      </c>
    </row>
    <row r="605" spans="4:20" ht="24" customHeight="1" x14ac:dyDescent="0.3">
      <c r="N605" s="7" t="s">
        <v>170</v>
      </c>
      <c r="O605" s="9" cm="1">
        <f t="array" aca="1" ref="O605:T612" ca="1">1/(1+EXP(-_xlfn.ANCHORARRAY(O596)))</f>
        <v>0.33137536778241106</v>
      </c>
      <c r="P605" s="10">
        <f ca="1"/>
        <v>0.31274563365838409</v>
      </c>
      <c r="Q605" s="10">
        <f ca="1"/>
        <v>0.27170769472271133</v>
      </c>
      <c r="R605" s="10">
        <f ca="1"/>
        <v>0.18332972586344407</v>
      </c>
      <c r="S605" s="10">
        <f ca="1"/>
        <v>0.237105186932838</v>
      </c>
      <c r="T605" s="11">
        <f ca="1"/>
        <v>0.76951843001971831</v>
      </c>
    </row>
    <row r="606" spans="4:20" ht="24" customHeight="1" x14ac:dyDescent="0.3">
      <c r="O606" s="12">
        <f ca="1"/>
        <v>0.49286532379085396</v>
      </c>
      <c r="P606" s="13">
        <f ca="1"/>
        <v>0.79878436599553193</v>
      </c>
      <c r="Q606" s="13">
        <f ca="1"/>
        <v>0.37590605293988827</v>
      </c>
      <c r="R606" s="13">
        <f ca="1"/>
        <v>0.18195968586936534</v>
      </c>
      <c r="S606" s="13">
        <f ca="1"/>
        <v>0.34830187916215738</v>
      </c>
      <c r="T606" s="14">
        <f ca="1"/>
        <v>0.75881397956263741</v>
      </c>
    </row>
    <row r="607" spans="4:20" ht="24" customHeight="1" x14ac:dyDescent="0.3">
      <c r="O607" s="12">
        <f ca="1"/>
        <v>0.16645884736815847</v>
      </c>
      <c r="P607" s="13">
        <f ca="1"/>
        <v>0.20816733511955107</v>
      </c>
      <c r="Q607" s="13">
        <f ca="1"/>
        <v>9.8393493203214014E-2</v>
      </c>
      <c r="R607" s="13">
        <f ca="1"/>
        <v>0.70984227927487986</v>
      </c>
      <c r="S607" s="13">
        <f ca="1"/>
        <v>0.11324536032846423</v>
      </c>
      <c r="T607" s="14">
        <f ca="1"/>
        <v>0.61715493525945053</v>
      </c>
    </row>
    <row r="608" spans="4:20" ht="24" customHeight="1" x14ac:dyDescent="0.3">
      <c r="O608" s="12">
        <f ca="1"/>
        <v>0.43601897045789406</v>
      </c>
      <c r="P608" s="13">
        <f ca="1"/>
        <v>0.43548583613135761</v>
      </c>
      <c r="Q608" s="13">
        <f ca="1"/>
        <v>0.41642412546232488</v>
      </c>
      <c r="R608" s="13">
        <f ca="1"/>
        <v>0.12902756210220767</v>
      </c>
      <c r="S608" s="13">
        <f ca="1"/>
        <v>0.18526164665526801</v>
      </c>
      <c r="T608" s="14">
        <f ca="1"/>
        <v>0.6731374869539587</v>
      </c>
    </row>
    <row r="609" spans="4:20" ht="24" customHeight="1" x14ac:dyDescent="0.3">
      <c r="O609" s="12">
        <f ca="1"/>
        <v>0.4274070996010344</v>
      </c>
      <c r="P609" s="13">
        <f ca="1"/>
        <v>0.10826088128927945</v>
      </c>
      <c r="Q609" s="13">
        <f ca="1"/>
        <v>0.11806007452604432</v>
      </c>
      <c r="R609" s="13">
        <f ca="1"/>
        <v>0.38811794315002968</v>
      </c>
      <c r="S609" s="13">
        <f ca="1"/>
        <v>0.12797361519109834</v>
      </c>
      <c r="T609" s="14">
        <f ca="1"/>
        <v>0.58125096705996127</v>
      </c>
    </row>
    <row r="610" spans="4:20" ht="24" customHeight="1" x14ac:dyDescent="0.3">
      <c r="O610" s="12">
        <f ca="1"/>
        <v>0.31189283361518466</v>
      </c>
      <c r="P610" s="13">
        <f ca="1"/>
        <v>0.5803309869604889</v>
      </c>
      <c r="Q610" s="13">
        <f ca="1"/>
        <v>0.14273251286335217</v>
      </c>
      <c r="R610" s="13">
        <f ca="1"/>
        <v>0.13372080584734033</v>
      </c>
      <c r="S610" s="13">
        <f ca="1"/>
        <v>0.20943749583817498</v>
      </c>
      <c r="T610" s="14">
        <f ca="1"/>
        <v>0.73495648645185541</v>
      </c>
    </row>
    <row r="611" spans="4:20" ht="24" customHeight="1" x14ac:dyDescent="0.3">
      <c r="O611" s="12">
        <f ca="1"/>
        <v>0.71048704766824899</v>
      </c>
      <c r="P611" s="13">
        <f ca="1"/>
        <v>0.8318179575667326</v>
      </c>
      <c r="Q611" s="13">
        <f ca="1"/>
        <v>0.5230538855212794</v>
      </c>
      <c r="R611" s="13">
        <f ca="1"/>
        <v>0.75537229832685704</v>
      </c>
      <c r="S611" s="13">
        <f ca="1"/>
        <v>0.79963189941130097</v>
      </c>
      <c r="T611" s="14">
        <f ca="1"/>
        <v>0.42988041830936052</v>
      </c>
    </row>
    <row r="612" spans="4:20" ht="24" customHeight="1" x14ac:dyDescent="0.3">
      <c r="O612" s="15">
        <f ca="1"/>
        <v>0.92339085096426921</v>
      </c>
      <c r="P612" s="16">
        <f ca="1"/>
        <v>0.8237510313484171</v>
      </c>
      <c r="Q612" s="16">
        <f ca="1"/>
        <v>0.7237781592646485</v>
      </c>
      <c r="R612" s="16">
        <f ca="1"/>
        <v>0.49441411004931957</v>
      </c>
      <c r="S612" s="16">
        <f ca="1"/>
        <v>0.63663725920403935</v>
      </c>
      <c r="T612" s="17">
        <f ca="1"/>
        <v>0.27235392391915991</v>
      </c>
    </row>
    <row r="614" spans="4:20" ht="24" customHeight="1" x14ac:dyDescent="0.3">
      <c r="D614" s="3" t="s">
        <v>171</v>
      </c>
      <c r="N614" s="7" t="s">
        <v>156</v>
      </c>
      <c r="O614" s="8">
        <f ca="1">MATCH(LARGE(O596:O603,1),O596:O603,0)</f>
        <v>8</v>
      </c>
      <c r="P614" s="8">
        <f ca="1">MATCH(LARGE(P596:P603,1),P596:P603,0)</f>
        <v>7</v>
      </c>
      <c r="Q614" s="8">
        <f ca="1">MATCH(LARGE(Q596:Q603,1),Q596:Q603,0)</f>
        <v>8</v>
      </c>
      <c r="R614" s="8">
        <f ca="1">MATCH(LARGE(R596:R603,1),R596:R603,0)</f>
        <v>7</v>
      </c>
      <c r="S614" s="8">
        <f ca="1">MATCH(LARGE(S596:S603,1),S596:S603,0)</f>
        <v>7</v>
      </c>
      <c r="T614" s="8">
        <f ca="1">MATCH(LARGE(T596:T603,1),T596:T603,0)</f>
        <v>1</v>
      </c>
    </row>
    <row r="615" spans="4:20" ht="24" customHeight="1" x14ac:dyDescent="0.3">
      <c r="N615" s="7" t="s">
        <v>157</v>
      </c>
      <c r="O615" s="8">
        <f ca="1">MATCH(LARGE(O596:O603,2),O596:O603,0)</f>
        <v>7</v>
      </c>
      <c r="P615" s="8">
        <f ca="1">MATCH(LARGE(P596:P603,2),P596:P603,0)</f>
        <v>8</v>
      </c>
      <c r="Q615" s="8">
        <f ca="1">MATCH(LARGE(Q596:Q603,2),Q596:Q603,0)</f>
        <v>7</v>
      </c>
      <c r="R615" s="8">
        <f ca="1">MATCH(LARGE(R596:R603,2),R596:R603,0)</f>
        <v>3</v>
      </c>
      <c r="S615" s="8">
        <f ca="1">MATCH(LARGE(S596:S603,2),S596:S603,0)</f>
        <v>8</v>
      </c>
      <c r="T615" s="8">
        <f ca="1">MATCH(LARGE(T596:T603,2),T596:T603,0)</f>
        <v>2</v>
      </c>
    </row>
    <row r="617" spans="4:20" ht="24" customHeight="1" x14ac:dyDescent="0.3">
      <c r="N617" s="7" t="s">
        <v>158</v>
      </c>
      <c r="O617" s="8" cm="1">
        <f t="array" aca="1" ref="O617" ca="1">INDEX(O605:O612,O614)/(INDEX(O605:O612,O614)+INDEX(O605:O612,O615))</f>
        <v>0.56515291120413924</v>
      </c>
      <c r="P617" s="8" cm="1">
        <f t="array" aca="1" ref="P617" ca="1">INDEX(P605:P612,P614)/(INDEX(P605:P612,P614)+INDEX(P605:P612,P615))</f>
        <v>0.50243630023041252</v>
      </c>
      <c r="Q617" s="8" cm="1">
        <f t="array" aca="1" ref="Q617" ca="1">INDEX(Q605:Q612,Q614)/(INDEX(Q605:Q612,Q614)+INDEX(Q605:Q612,Q615))</f>
        <v>0.58049370987165805</v>
      </c>
      <c r="R617" s="8" cm="1">
        <f t="array" aca="1" ref="R617" ca="1">INDEX(R605:R612,R614)/(INDEX(R605:R612,R614)+INDEX(R605:R612,R615))</f>
        <v>0.51553697995774128</v>
      </c>
      <c r="S617" s="8" cm="1">
        <f t="array" aca="1" ref="S617" ca="1">INDEX(S605:S612,S614)/(INDEX(S605:S612,S614)+INDEX(S605:S612,S615))</f>
        <v>0.55674237284479444</v>
      </c>
      <c r="T617" s="8" cm="1">
        <f t="array" aca="1" ref="T617" ca="1">INDEX(T605:T612,T614)/(INDEX(T605:T612,T614)+INDEX(T605:T612,T615))</f>
        <v>0.50350200335671935</v>
      </c>
    </row>
    <row r="618" spans="4:20" ht="24" customHeight="1" x14ac:dyDescent="0.3">
      <c r="N618" s="7" t="s">
        <v>159</v>
      </c>
      <c r="O618" s="8" cm="1">
        <f t="array" aca="1" ref="O618" ca="1">INDEX(O605:O612,O615)/(INDEX(O605:O612,O615)+INDEX(O605:O612,O614))</f>
        <v>0.43484708879586076</v>
      </c>
      <c r="P618" s="8" cm="1">
        <f t="array" aca="1" ref="P618" ca="1">INDEX(P605:P612,P615)/(INDEX(P605:P612,P615)+INDEX(P605:P612,P614))</f>
        <v>0.49756369976958753</v>
      </c>
      <c r="Q618" s="8" cm="1">
        <f t="array" aca="1" ref="Q618" ca="1">INDEX(Q605:Q612,Q615)/(INDEX(Q605:Q612,Q615)+INDEX(Q605:Q612,Q614))</f>
        <v>0.41950629012834206</v>
      </c>
      <c r="R618" s="8" cm="1">
        <f t="array" aca="1" ref="R618" ca="1">INDEX(R605:R612,R615)/(INDEX(R605:R612,R615)+INDEX(R605:R612,R614))</f>
        <v>0.48446302004225866</v>
      </c>
      <c r="S618" s="8" cm="1">
        <f t="array" aca="1" ref="S618" ca="1">INDEX(S605:S612,S615)/(INDEX(S605:S612,S615)+INDEX(S605:S612,S614))</f>
        <v>0.44325762715520561</v>
      </c>
      <c r="T618" s="8" cm="1">
        <f t="array" aca="1" ref="T618" ca="1">INDEX(T605:T612,T615)/(INDEX(T605:T612,T615)+INDEX(T605:T612,T614))</f>
        <v>0.49649799664328059</v>
      </c>
    </row>
    <row r="620" spans="4:20" ht="24" customHeight="1" x14ac:dyDescent="0.3">
      <c r="D620" s="7" t="s">
        <v>172</v>
      </c>
      <c r="F620" s="8">
        <f>F587</f>
        <v>0.75</v>
      </c>
      <c r="N620" s="7" t="s">
        <v>173</v>
      </c>
      <c r="O620" s="9">
        <f ca="1">O617*F587</f>
        <v>0.42386468340310446</v>
      </c>
      <c r="P620" s="10">
        <f ca="1">P617*F587</f>
        <v>0.37682722517280942</v>
      </c>
      <c r="Q620" s="10">
        <f ca="1">Q617*F587</f>
        <v>0.43537028240374354</v>
      </c>
      <c r="R620" s="10">
        <f ca="1">R617*F587</f>
        <v>0.38665273496830599</v>
      </c>
      <c r="S620" s="10">
        <f ca="1">S617*F587</f>
        <v>0.41755677963359583</v>
      </c>
      <c r="T620" s="11">
        <f ca="1">T617*F587</f>
        <v>0.37762650251753949</v>
      </c>
    </row>
    <row r="621" spans="4:20" ht="24" customHeight="1" x14ac:dyDescent="0.3">
      <c r="N621" s="7" t="s">
        <v>174</v>
      </c>
      <c r="O621" s="15">
        <f ca="1">O618*F587</f>
        <v>0.32613531659689554</v>
      </c>
      <c r="P621" s="16">
        <f ca="1">P618*F587</f>
        <v>0.37317277482719063</v>
      </c>
      <c r="Q621" s="16">
        <f ca="1">Q618*F587</f>
        <v>0.31462971759625658</v>
      </c>
      <c r="R621" s="16">
        <f ca="1">R618*F587</f>
        <v>0.36334726503169401</v>
      </c>
      <c r="S621" s="16">
        <f ca="1">S618*F587</f>
        <v>0.33244322036640422</v>
      </c>
      <c r="T621" s="17">
        <f ca="1">T618*F587</f>
        <v>0.37237349748246046</v>
      </c>
    </row>
    <row r="623" spans="4:20" ht="24" customHeight="1" x14ac:dyDescent="0.3">
      <c r="D623" s="1" t="s">
        <v>175</v>
      </c>
    </row>
    <row r="624" spans="4:20" ht="24" customHeight="1" x14ac:dyDescent="0.3">
      <c r="D624" s="1" t="s">
        <v>176</v>
      </c>
    </row>
    <row r="632" spans="1:131" ht="48" customHeight="1" thickBot="1" x14ac:dyDescent="0.95">
      <c r="A632" s="5" t="s">
        <v>177</v>
      </c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  <c r="CD632" s="6"/>
      <c r="CE632" s="6"/>
      <c r="CF632" s="6"/>
      <c r="CG632" s="6"/>
      <c r="CH632" s="6"/>
      <c r="CI632" s="6"/>
      <c r="CJ632" s="6"/>
      <c r="CK632" s="6"/>
      <c r="CL632" s="6"/>
      <c r="CM632" s="6"/>
      <c r="CN632" s="6"/>
      <c r="CO632" s="6"/>
      <c r="CP632" s="6"/>
      <c r="CQ632" s="6"/>
      <c r="CR632" s="6"/>
      <c r="CS632" s="6"/>
      <c r="CT632" s="6"/>
      <c r="CU632" s="6"/>
      <c r="CV632" s="6"/>
      <c r="CW632" s="6"/>
      <c r="CX632" s="6"/>
      <c r="CY632" s="6"/>
      <c r="CZ632" s="6"/>
      <c r="DA632" s="6"/>
      <c r="DB632" s="6"/>
      <c r="DC632" s="6"/>
      <c r="DD632" s="6"/>
      <c r="DE632" s="6"/>
      <c r="DF632" s="6"/>
      <c r="DG632" s="6"/>
      <c r="DH632" s="6"/>
      <c r="DI632" s="6"/>
      <c r="DJ632" s="6"/>
      <c r="DK632" s="6"/>
      <c r="DL632" s="6"/>
      <c r="DM632" s="6"/>
      <c r="DN632" s="6"/>
      <c r="DO632" s="6"/>
      <c r="DP632" s="6"/>
      <c r="DQ632" s="6"/>
      <c r="DR632" s="6"/>
      <c r="DS632" s="6"/>
      <c r="DT632" s="6"/>
      <c r="DU632" s="6"/>
      <c r="DV632" s="6"/>
      <c r="DW632" s="6"/>
      <c r="DX632" s="6"/>
      <c r="DY632" s="6"/>
      <c r="DZ632" s="6"/>
      <c r="EA632" s="6"/>
    </row>
    <row r="633" spans="1:131" ht="24" customHeight="1" thickTop="1" x14ac:dyDescent="0.3"/>
    <row r="635" spans="1:131" ht="24" customHeight="1" x14ac:dyDescent="0.3">
      <c r="E635" s="7" t="s">
        <v>178</v>
      </c>
      <c r="F635" s="8">
        <v>24</v>
      </c>
      <c r="N635" s="7" t="s">
        <v>8</v>
      </c>
      <c r="O635" s="8" cm="1">
        <f t="array" ref="O635:AL635">_xlfn.SEQUENCE(1,F635,1)</f>
        <v>1</v>
      </c>
      <c r="P635" s="8">
        <v>2</v>
      </c>
      <c r="Q635" s="8">
        <v>3</v>
      </c>
      <c r="R635" s="8">
        <v>4</v>
      </c>
      <c r="S635" s="8">
        <v>5</v>
      </c>
      <c r="T635" s="8">
        <v>6</v>
      </c>
      <c r="U635" s="1">
        <v>7</v>
      </c>
      <c r="V635" s="1">
        <v>8</v>
      </c>
      <c r="W635" s="1">
        <v>9</v>
      </c>
      <c r="X635" s="1">
        <v>10</v>
      </c>
      <c r="Y635" s="1">
        <v>11</v>
      </c>
      <c r="Z635" s="1">
        <v>12</v>
      </c>
      <c r="AA635" s="1">
        <v>13</v>
      </c>
      <c r="AB635" s="1">
        <v>14</v>
      </c>
      <c r="AC635" s="1">
        <v>15</v>
      </c>
      <c r="AD635" s="1">
        <v>16</v>
      </c>
      <c r="AE635" s="1">
        <v>17</v>
      </c>
      <c r="AF635" s="1">
        <v>18</v>
      </c>
      <c r="AG635" s="1">
        <v>19</v>
      </c>
      <c r="AH635" s="1">
        <v>20</v>
      </c>
      <c r="AI635" s="1">
        <v>21</v>
      </c>
      <c r="AJ635" s="1">
        <v>22</v>
      </c>
      <c r="AK635" s="1">
        <v>23</v>
      </c>
      <c r="AL635" s="1">
        <v>24</v>
      </c>
    </row>
    <row r="636" spans="1:131" ht="24" customHeight="1" x14ac:dyDescent="0.3">
      <c r="E636" s="7" t="s">
        <v>5</v>
      </c>
      <c r="F636" s="8">
        <v>8</v>
      </c>
      <c r="N636" s="7" t="s">
        <v>180</v>
      </c>
      <c r="O636" s="9" cm="1">
        <f t="array" aca="1" ref="O636:AL643" ca="1">(_xlfn.RANDARRAY(F636,F635)-0.5)*2</f>
        <v>-0.62652630178376789</v>
      </c>
      <c r="P636" s="10">
        <f ca="1"/>
        <v>0.5733070741032833</v>
      </c>
      <c r="Q636" s="10">
        <f ca="1"/>
        <v>-0.23526021850365852</v>
      </c>
      <c r="R636" s="10">
        <f ca="1"/>
        <v>-0.88114129153084519</v>
      </c>
      <c r="S636" s="10">
        <f ca="1"/>
        <v>-0.92707535232632177</v>
      </c>
      <c r="T636" s="10">
        <f ca="1"/>
        <v>-0.41739400761814283</v>
      </c>
      <c r="U636" s="10">
        <f ca="1"/>
        <v>0.8828048276890601</v>
      </c>
      <c r="V636" s="10">
        <f ca="1"/>
        <v>-0.52503276136785582</v>
      </c>
      <c r="W636" s="10">
        <f ca="1"/>
        <v>-0.58637158642795706</v>
      </c>
      <c r="X636" s="10">
        <f ca="1"/>
        <v>-3.3666983277620854E-2</v>
      </c>
      <c r="Y636" s="10">
        <f ca="1"/>
        <v>-0.98657577207933356</v>
      </c>
      <c r="Z636" s="10">
        <f ca="1"/>
        <v>0.34501935167341546</v>
      </c>
      <c r="AA636" s="10">
        <f ca="1"/>
        <v>0.74117409307318782</v>
      </c>
      <c r="AB636" s="10">
        <f ca="1"/>
        <v>-0.27465448752608301</v>
      </c>
      <c r="AC636" s="10">
        <f ca="1"/>
        <v>8.9885343084073366E-2</v>
      </c>
      <c r="AD636" s="10">
        <f ca="1"/>
        <v>-0.88214522433996256</v>
      </c>
      <c r="AE636" s="10">
        <f ca="1"/>
        <v>4.5409052406724548E-2</v>
      </c>
      <c r="AF636" s="10">
        <f ca="1"/>
        <v>0.91346889753272098</v>
      </c>
      <c r="AG636" s="10">
        <f ca="1"/>
        <v>-0.76539020696534665</v>
      </c>
      <c r="AH636" s="10">
        <f ca="1"/>
        <v>0.9828946717785918</v>
      </c>
      <c r="AI636" s="10">
        <f ca="1"/>
        <v>-0.84947292581017431</v>
      </c>
      <c r="AJ636" s="10">
        <f ca="1"/>
        <v>0.80518402858701243</v>
      </c>
      <c r="AK636" s="10">
        <f ca="1"/>
        <v>-0.85222589094632362</v>
      </c>
      <c r="AL636" s="11">
        <f ca="1"/>
        <v>-0.79009074595316831</v>
      </c>
    </row>
    <row r="637" spans="1:131" ht="24" customHeight="1" x14ac:dyDescent="0.3">
      <c r="E637" s="7" t="s">
        <v>134</v>
      </c>
      <c r="F637" s="8">
        <v>8</v>
      </c>
      <c r="O637" s="12">
        <f ca="1"/>
        <v>-0.18282836468004593</v>
      </c>
      <c r="P637" s="13">
        <f ca="1"/>
        <v>-0.77309884025799125</v>
      </c>
      <c r="Q637" s="13">
        <f ca="1"/>
        <v>0.79336828158280071</v>
      </c>
      <c r="R637" s="13">
        <f ca="1"/>
        <v>0.51781404146537913</v>
      </c>
      <c r="S637" s="13">
        <f ca="1"/>
        <v>0.81089879661454978</v>
      </c>
      <c r="T637" s="13">
        <f ca="1"/>
        <v>0.47592300870517601</v>
      </c>
      <c r="U637" s="13">
        <f ca="1"/>
        <v>-0.36020939144552688</v>
      </c>
      <c r="V637" s="13">
        <f ca="1"/>
        <v>0.77158804729770836</v>
      </c>
      <c r="W637" s="13">
        <f ca="1"/>
        <v>-0.31775957968740043</v>
      </c>
      <c r="X637" s="13">
        <f ca="1"/>
        <v>0.17858521528853943</v>
      </c>
      <c r="Y637" s="13">
        <f ca="1"/>
        <v>-0.3389354084215177</v>
      </c>
      <c r="Z637" s="13">
        <f ca="1"/>
        <v>-0.62168263053520656</v>
      </c>
      <c r="AA637" s="13">
        <f ca="1"/>
        <v>-0.1948257039113872</v>
      </c>
      <c r="AB637" s="13">
        <f ca="1"/>
        <v>-0.13317152567752943</v>
      </c>
      <c r="AC637" s="13">
        <f ca="1"/>
        <v>0.1438223616517571</v>
      </c>
      <c r="AD637" s="13">
        <f ca="1"/>
        <v>0.47355126481065835</v>
      </c>
      <c r="AE637" s="13">
        <f ca="1"/>
        <v>-0.15165562427310686</v>
      </c>
      <c r="AF637" s="13">
        <f ca="1"/>
        <v>-0.95393928373180081</v>
      </c>
      <c r="AG637" s="13">
        <f ca="1"/>
        <v>-0.34830706423394941</v>
      </c>
      <c r="AH637" s="13">
        <f ca="1"/>
        <v>9.8652074588137406E-2</v>
      </c>
      <c r="AI637" s="13">
        <f ca="1"/>
        <v>0.72750943056973849</v>
      </c>
      <c r="AJ637" s="13">
        <f ca="1"/>
        <v>-0.96292511701898853</v>
      </c>
      <c r="AK637" s="13">
        <f ca="1"/>
        <v>-0.45323688747397961</v>
      </c>
      <c r="AL637" s="14">
        <f ca="1"/>
        <v>-0.76437066026412381</v>
      </c>
    </row>
    <row r="638" spans="1:131" ht="24" customHeight="1" x14ac:dyDescent="0.3">
      <c r="E638" s="7" t="s">
        <v>135</v>
      </c>
      <c r="F638" s="8">
        <v>2</v>
      </c>
      <c r="O638" s="12">
        <f ca="1"/>
        <v>0.34993956029083551</v>
      </c>
      <c r="P638" s="13">
        <f ca="1"/>
        <v>-0.70596829627910118</v>
      </c>
      <c r="Q638" s="13">
        <f ca="1"/>
        <v>-0.62734113278653547</v>
      </c>
      <c r="R638" s="13">
        <f ca="1"/>
        <v>0.23131434423279007</v>
      </c>
      <c r="S638" s="13">
        <f ca="1"/>
        <v>0.32668767125497311</v>
      </c>
      <c r="T638" s="13">
        <f ca="1"/>
        <v>-0.92842566845425933</v>
      </c>
      <c r="U638" s="13">
        <f ca="1"/>
        <v>-5.9825727419109853E-2</v>
      </c>
      <c r="V638" s="13">
        <f ca="1"/>
        <v>3.1443983285289967E-2</v>
      </c>
      <c r="W638" s="13">
        <f ca="1"/>
        <v>-7.4104923872269524E-2</v>
      </c>
      <c r="X638" s="13">
        <f ca="1"/>
        <v>0.56755768874668355</v>
      </c>
      <c r="Y638" s="13">
        <f ca="1"/>
        <v>-0.43281180575731781</v>
      </c>
      <c r="Z638" s="13">
        <f ca="1"/>
        <v>0.57447394042804145</v>
      </c>
      <c r="AA638" s="13">
        <f ca="1"/>
        <v>-0.7034747946054658</v>
      </c>
      <c r="AB638" s="13">
        <f ca="1"/>
        <v>-0.58432704823609027</v>
      </c>
      <c r="AC638" s="13">
        <f ca="1"/>
        <v>0.95938255740054412</v>
      </c>
      <c r="AD638" s="13">
        <f ca="1"/>
        <v>-0.56777094340302758</v>
      </c>
      <c r="AE638" s="13">
        <f ca="1"/>
        <v>-0.60050418575656028</v>
      </c>
      <c r="AF638" s="13">
        <f ca="1"/>
        <v>0.34275606472556452</v>
      </c>
      <c r="AG638" s="13">
        <f ca="1"/>
        <v>0.92288352538715879</v>
      </c>
      <c r="AH638" s="13">
        <f ca="1"/>
        <v>0.87298950450703128</v>
      </c>
      <c r="AI638" s="13">
        <f ca="1"/>
        <v>-0.69936027286437463</v>
      </c>
      <c r="AJ638" s="13">
        <f ca="1"/>
        <v>-0.71242643500283442</v>
      </c>
      <c r="AK638" s="13">
        <f ca="1"/>
        <v>0.64567444567781651</v>
      </c>
      <c r="AL638" s="14">
        <f ca="1"/>
        <v>-0.12964947657044723</v>
      </c>
    </row>
    <row r="639" spans="1:131" ht="24" customHeight="1" x14ac:dyDescent="0.3">
      <c r="E639" s="7" t="s">
        <v>179</v>
      </c>
      <c r="F639" s="8">
        <v>3</v>
      </c>
      <c r="O639" s="12">
        <f ca="1"/>
        <v>0.43936522726014005</v>
      </c>
      <c r="P639" s="13">
        <f ca="1"/>
        <v>-4.504653112592294E-2</v>
      </c>
      <c r="Q639" s="13">
        <f ca="1"/>
        <v>-0.34548072946839881</v>
      </c>
      <c r="R639" s="13">
        <f ca="1"/>
        <v>0.19637711349478515</v>
      </c>
      <c r="S639" s="13">
        <f ca="1"/>
        <v>-0.37898451435908154</v>
      </c>
      <c r="T639" s="13">
        <f ca="1"/>
        <v>-0.13998494071627698</v>
      </c>
      <c r="U639" s="13">
        <f ca="1"/>
        <v>0.30217009278569362</v>
      </c>
      <c r="V639" s="13">
        <f ca="1"/>
        <v>0.17397176046170193</v>
      </c>
      <c r="W639" s="13">
        <f ca="1"/>
        <v>-0.7053843571568108</v>
      </c>
      <c r="X639" s="13">
        <f ca="1"/>
        <v>-0.72570118388582472</v>
      </c>
      <c r="Y639" s="13">
        <f ca="1"/>
        <v>-0.26717145143797838</v>
      </c>
      <c r="Z639" s="13">
        <f ca="1"/>
        <v>-0.80600754327867241</v>
      </c>
      <c r="AA639" s="13">
        <f ca="1"/>
        <v>0.19066146441307374</v>
      </c>
      <c r="AB639" s="13">
        <f ca="1"/>
        <v>0.14686951932340309</v>
      </c>
      <c r="AC639" s="13">
        <f ca="1"/>
        <v>0.62404396810070129</v>
      </c>
      <c r="AD639" s="13">
        <f ca="1"/>
        <v>-0.99172317683644229</v>
      </c>
      <c r="AE639" s="13">
        <f ca="1"/>
        <v>-6.653831194418558E-2</v>
      </c>
      <c r="AF639" s="13">
        <f ca="1"/>
        <v>0.40979843116633452</v>
      </c>
      <c r="AG639" s="13">
        <f ca="1"/>
        <v>-2.8877446398347661E-2</v>
      </c>
      <c r="AH639" s="13">
        <f ca="1"/>
        <v>-0.9682992245294697</v>
      </c>
      <c r="AI639" s="13">
        <f ca="1"/>
        <v>0.98638520174418698</v>
      </c>
      <c r="AJ639" s="13">
        <f ca="1"/>
        <v>-0.67653482443089397</v>
      </c>
      <c r="AK639" s="13">
        <f ca="1"/>
        <v>0.66171055293993231</v>
      </c>
      <c r="AL639" s="14">
        <f ca="1"/>
        <v>0.80444092887312868</v>
      </c>
    </row>
    <row r="640" spans="1:131" ht="24" customHeight="1" x14ac:dyDescent="0.3">
      <c r="O640" s="12">
        <f ca="1"/>
        <v>0.16090487066776893</v>
      </c>
      <c r="P640" s="13">
        <f ca="1"/>
        <v>-9.0419771700834595E-2</v>
      </c>
      <c r="Q640" s="13">
        <f ca="1"/>
        <v>-0.36272020858027165</v>
      </c>
      <c r="R640" s="13">
        <f ca="1"/>
        <v>-0.16739086211398568</v>
      </c>
      <c r="S640" s="13">
        <f ca="1"/>
        <v>0.78168433027256023</v>
      </c>
      <c r="T640" s="13">
        <f ca="1"/>
        <v>-0.2566660009421935</v>
      </c>
      <c r="U640" s="13">
        <f ca="1"/>
        <v>0.58716501558614231</v>
      </c>
      <c r="V640" s="13">
        <f ca="1"/>
        <v>-0.86184111221959281</v>
      </c>
      <c r="W640" s="13">
        <f ca="1"/>
        <v>0.29341751027687479</v>
      </c>
      <c r="X640" s="13">
        <f ca="1"/>
        <v>0.69001976305562795</v>
      </c>
      <c r="Y640" s="13">
        <f ca="1"/>
        <v>-0.52347257912603729</v>
      </c>
      <c r="Z640" s="13">
        <f ca="1"/>
        <v>0.90127458629511192</v>
      </c>
      <c r="AA640" s="13">
        <f ca="1"/>
        <v>-0.92318326391563055</v>
      </c>
      <c r="AB640" s="13">
        <f ca="1"/>
        <v>0.94442965226367503</v>
      </c>
      <c r="AC640" s="13">
        <f ca="1"/>
        <v>0.64805100565124629</v>
      </c>
      <c r="AD640" s="13">
        <f ca="1"/>
        <v>-0.50885316850336038</v>
      </c>
      <c r="AE640" s="13">
        <f ca="1"/>
        <v>-0.238597584167207</v>
      </c>
      <c r="AF640" s="13">
        <f ca="1"/>
        <v>0.90212099215867259</v>
      </c>
      <c r="AG640" s="13">
        <f ca="1"/>
        <v>0.55653579240877393</v>
      </c>
      <c r="AH640" s="13">
        <f ca="1"/>
        <v>-0.93676825180039502</v>
      </c>
      <c r="AI640" s="13">
        <f ca="1"/>
        <v>-0.57206279058104581</v>
      </c>
      <c r="AJ640" s="13">
        <f ca="1"/>
        <v>0.74573297227477209</v>
      </c>
      <c r="AK640" s="13">
        <f ca="1"/>
        <v>-0.3467656383245985</v>
      </c>
      <c r="AL640" s="14">
        <f ca="1"/>
        <v>1.1111628493551962E-2</v>
      </c>
    </row>
    <row r="641" spans="15:38" ht="24" customHeight="1" x14ac:dyDescent="0.3">
      <c r="O641" s="12">
        <f ca="1"/>
        <v>0.11026380109350731</v>
      </c>
      <c r="P641" s="13">
        <f ca="1"/>
        <v>0.37755247027225458</v>
      </c>
      <c r="Q641" s="13">
        <f ca="1"/>
        <v>0.84251731427172327</v>
      </c>
      <c r="R641" s="13">
        <f ca="1"/>
        <v>-0.13319038116031123</v>
      </c>
      <c r="S641" s="13">
        <f ca="1"/>
        <v>3.0115249686145429E-2</v>
      </c>
      <c r="T641" s="13">
        <f ca="1"/>
        <v>-0.7645410800839052</v>
      </c>
      <c r="U641" s="13">
        <f ca="1"/>
        <v>0.14315972377976882</v>
      </c>
      <c r="V641" s="13">
        <f ca="1"/>
        <v>0.63083434906122626</v>
      </c>
      <c r="W641" s="13">
        <f ca="1"/>
        <v>-0.84904831845194861</v>
      </c>
      <c r="X641" s="13">
        <f ca="1"/>
        <v>6.6964203542358991E-2</v>
      </c>
      <c r="Y641" s="13">
        <f ca="1"/>
        <v>-0.45245062728457253</v>
      </c>
      <c r="Z641" s="13">
        <f ca="1"/>
        <v>-0.61818606652415609</v>
      </c>
      <c r="AA641" s="13">
        <f ca="1"/>
        <v>-3.3430062990670528E-2</v>
      </c>
      <c r="AB641" s="13">
        <f ca="1"/>
        <v>-0.15374031729962923</v>
      </c>
      <c r="AC641" s="13">
        <f ca="1"/>
        <v>-0.16045286611074383</v>
      </c>
      <c r="AD641" s="13">
        <f ca="1"/>
        <v>0.36828169071389905</v>
      </c>
      <c r="AE641" s="13">
        <f ca="1"/>
        <v>0.95611497132046663</v>
      </c>
      <c r="AF641" s="13">
        <f ca="1"/>
        <v>0.45790591443714046</v>
      </c>
      <c r="AG641" s="13">
        <f ca="1"/>
        <v>0.28663498458328007</v>
      </c>
      <c r="AH641" s="13">
        <f ca="1"/>
        <v>-0.66755410614508603</v>
      </c>
      <c r="AI641" s="13">
        <f ca="1"/>
        <v>0.45563632655095354</v>
      </c>
      <c r="AJ641" s="13">
        <f ca="1"/>
        <v>-0.59652514239627896</v>
      </c>
      <c r="AK641" s="13">
        <f ca="1"/>
        <v>0.13697902153819275</v>
      </c>
      <c r="AL641" s="14">
        <f ca="1"/>
        <v>0.13737734166472393</v>
      </c>
    </row>
    <row r="642" spans="15:38" ht="24" customHeight="1" x14ac:dyDescent="0.3">
      <c r="O642" s="12">
        <f ca="1"/>
        <v>0.75095286359660562</v>
      </c>
      <c r="P642" s="13">
        <f ca="1"/>
        <v>0.97731947360851823</v>
      </c>
      <c r="Q642" s="13">
        <f ca="1"/>
        <v>-0.43882255757658584</v>
      </c>
      <c r="R642" s="13">
        <f ca="1"/>
        <v>0.31757440546736149</v>
      </c>
      <c r="S642" s="13">
        <f ca="1"/>
        <v>0.8151701637363753</v>
      </c>
      <c r="T642" s="13">
        <f ca="1"/>
        <v>0.65464266819687689</v>
      </c>
      <c r="U642" s="13">
        <f ca="1"/>
        <v>0.96536692896036236</v>
      </c>
      <c r="V642" s="13">
        <f ca="1"/>
        <v>-0.68272494606965717</v>
      </c>
      <c r="W642" s="13">
        <f ca="1"/>
        <v>0.10213297520880671</v>
      </c>
      <c r="X642" s="13">
        <f ca="1"/>
        <v>-0.72410019536425185</v>
      </c>
      <c r="Y642" s="13">
        <f ca="1"/>
        <v>0.75087389466742627</v>
      </c>
      <c r="Z642" s="13">
        <f ca="1"/>
        <v>8.3713853324062448E-2</v>
      </c>
      <c r="AA642" s="13">
        <f ca="1"/>
        <v>0.93860411944214439</v>
      </c>
      <c r="AB642" s="13">
        <f ca="1"/>
        <v>-7.0690594135374596E-2</v>
      </c>
      <c r="AC642" s="13">
        <f ca="1"/>
        <v>0.46415663298937826</v>
      </c>
      <c r="AD642" s="13">
        <f ca="1"/>
        <v>0.16460987207800226</v>
      </c>
      <c r="AE642" s="13">
        <f ca="1"/>
        <v>-0.71528380486850063</v>
      </c>
      <c r="AF642" s="13">
        <f ca="1"/>
        <v>-0.46583715212677168</v>
      </c>
      <c r="AG642" s="13">
        <f ca="1"/>
        <v>-0.62720705618567285</v>
      </c>
      <c r="AH642" s="13">
        <f ca="1"/>
        <v>-0.94780336610830851</v>
      </c>
      <c r="AI642" s="13">
        <f ca="1"/>
        <v>0.59299881995078207</v>
      </c>
      <c r="AJ642" s="13">
        <f ca="1"/>
        <v>-0.64766845606001544</v>
      </c>
      <c r="AK642" s="13">
        <f ca="1"/>
        <v>-0.53499368304046691</v>
      </c>
      <c r="AL642" s="14">
        <f ca="1"/>
        <v>0.46458819447535493</v>
      </c>
    </row>
    <row r="643" spans="15:38" ht="24" customHeight="1" x14ac:dyDescent="0.3">
      <c r="O643" s="15">
        <f ca="1"/>
        <v>0.89764210471422112</v>
      </c>
      <c r="P643" s="16">
        <f ca="1"/>
        <v>0.56549853727627752</v>
      </c>
      <c r="Q643" s="16">
        <f ca="1"/>
        <v>0.24099839399205569</v>
      </c>
      <c r="R643" s="16">
        <f ca="1"/>
        <v>0.62436429755934819</v>
      </c>
      <c r="S643" s="16">
        <f ca="1"/>
        <v>0.65674379089379098</v>
      </c>
      <c r="T643" s="16">
        <f ca="1"/>
        <v>-0.24887735346597006</v>
      </c>
      <c r="U643" s="16">
        <f ca="1"/>
        <v>0.85226471027351769</v>
      </c>
      <c r="V643" s="16">
        <f ca="1"/>
        <v>-0.3227470987536929</v>
      </c>
      <c r="W643" s="16">
        <f ca="1"/>
        <v>-0.94816027184727725</v>
      </c>
      <c r="X643" s="16">
        <f ca="1"/>
        <v>0.94734119274060635</v>
      </c>
      <c r="Y643" s="16">
        <f ca="1"/>
        <v>-0.20857517214713006</v>
      </c>
      <c r="Z643" s="16">
        <f ca="1"/>
        <v>0.74568375635339201</v>
      </c>
      <c r="AA643" s="16">
        <f ca="1"/>
        <v>-0.2758771869147485</v>
      </c>
      <c r="AB643" s="16">
        <f ca="1"/>
        <v>-0.58083982241327359</v>
      </c>
      <c r="AC643" s="16">
        <f ca="1"/>
        <v>0.86148475075751518</v>
      </c>
      <c r="AD643" s="16">
        <f ca="1"/>
        <v>0.80564310032105801</v>
      </c>
      <c r="AE643" s="16">
        <f ca="1"/>
        <v>-0.62150635163295487</v>
      </c>
      <c r="AF643" s="16">
        <f ca="1"/>
        <v>0.52707555974702691</v>
      </c>
      <c r="AG643" s="16">
        <f ca="1"/>
        <v>-8.6863054615958557E-2</v>
      </c>
      <c r="AH643" s="16">
        <f ca="1"/>
        <v>-0.99117083872266321</v>
      </c>
      <c r="AI643" s="16">
        <f ca="1"/>
        <v>-0.60195697234886936</v>
      </c>
      <c r="AJ643" s="16">
        <f ca="1"/>
        <v>-0.40374965213664904</v>
      </c>
      <c r="AK643" s="16">
        <f ca="1"/>
        <v>0.48010676828375853</v>
      </c>
      <c r="AL643" s="17">
        <f ca="1"/>
        <v>-0.32885910214174752</v>
      </c>
    </row>
    <row r="661" spans="4:38" ht="24" customHeight="1" x14ac:dyDescent="0.3">
      <c r="D661" s="3" t="s">
        <v>144</v>
      </c>
    </row>
    <row r="662" spans="4:38" ht="24" customHeight="1" x14ac:dyDescent="0.3">
      <c r="D662" s="7" t="s">
        <v>145</v>
      </c>
      <c r="E662" s="18" cm="1">
        <f t="array" aca="1" ref="E662:L669" ca="1">(_xlfn.RANDARRAY(F637,F636)-0.5)*2</f>
        <v>-0.31791415635762021</v>
      </c>
      <c r="F662" s="18">
        <f ca="1"/>
        <v>-0.8782925557351775</v>
      </c>
      <c r="G662" s="18">
        <f ca="1"/>
        <v>-0.99226885659185982</v>
      </c>
      <c r="H662" s="18">
        <f ca="1"/>
        <v>1.8001284957903874E-2</v>
      </c>
      <c r="I662" s="18">
        <f ca="1"/>
        <v>-0.27281061990317834</v>
      </c>
      <c r="J662" s="18">
        <f ca="1"/>
        <v>0.71933610872799836</v>
      </c>
      <c r="K662" s="18">
        <f ca="1"/>
        <v>0.47054808689894845</v>
      </c>
      <c r="L662" s="18">
        <f ca="1"/>
        <v>0.87550301612617387</v>
      </c>
      <c r="N662" s="7" t="s">
        <v>153</v>
      </c>
      <c r="O662" s="9" cm="1">
        <f t="array" aca="1" ref="O662:AL669" ca="1">MMULT(_xlfn.ANCHORARRAY(E662),_xlfn.ANCHORARRAY(O636))</f>
        <v>1.1951013631292893</v>
      </c>
      <c r="P662" s="10">
        <f ca="1"/>
        <v>2.4476700625158876</v>
      </c>
      <c r="Q662" s="10">
        <f ca="1"/>
        <v>0.70376982688825085</v>
      </c>
      <c r="R662" s="10">
        <f ca="1"/>
        <v>0.2452683019398012</v>
      </c>
      <c r="S662" s="10">
        <f ca="1"/>
        <v>1.850892234240431E-2</v>
      </c>
      <c r="T662" s="10">
        <f ca="1"/>
        <v>0.24363098264415498</v>
      </c>
      <c r="U662" s="10">
        <f ca="1"/>
        <v>1.2437227237792061</v>
      </c>
      <c r="V662" s="10">
        <f ca="1"/>
        <v>-0.45375350241969575</v>
      </c>
      <c r="W662" s="10">
        <f ca="1"/>
        <v>-0.94652134324101678</v>
      </c>
      <c r="X662" s="10">
        <f ca="1"/>
        <v>-0.37377906704573993</v>
      </c>
      <c r="Y662" s="10">
        <f ca="1"/>
        <v>1.0240459840690053</v>
      </c>
      <c r="Z662" s="10">
        <f ca="1"/>
        <v>-0.14653014802174213</v>
      </c>
      <c r="AA662" s="10">
        <f ca="1"/>
        <v>1.064886320955029</v>
      </c>
      <c r="AB662" s="10">
        <f ca="1"/>
        <v>-0.12329825930303001</v>
      </c>
      <c r="AC662" s="10">
        <f ca="1"/>
        <v>-0.4151999961858821</v>
      </c>
      <c r="AD662" s="10">
        <f ca="1"/>
        <v>1.5965977287460924</v>
      </c>
      <c r="AE662" s="10">
        <f ca="1"/>
        <v>0.58557951835632338</v>
      </c>
      <c r="AF662" s="10">
        <f ca="1"/>
        <v>0.54024134060799056</v>
      </c>
      <c r="AG662" s="10">
        <f ca="1"/>
        <v>-0.68384645486022111</v>
      </c>
      <c r="AH662" s="10">
        <f ca="1"/>
        <v>-2.8211880058818126</v>
      </c>
      <c r="AI662" s="10">
        <f ca="1"/>
        <v>0.57864275290660139</v>
      </c>
      <c r="AJ662" s="10">
        <f ca="1"/>
        <v>-6.2985115327568453E-3</v>
      </c>
      <c r="AK662" s="10">
        <f ca="1"/>
        <v>0.40196823039952823</v>
      </c>
      <c r="AL662" s="11">
        <f ca="1"/>
        <v>1.0921332643683725</v>
      </c>
    </row>
    <row r="663" spans="4:38" ht="24" customHeight="1" x14ac:dyDescent="0.3">
      <c r="E663" s="18">
        <f ca="1"/>
        <v>-0.99115168049323721</v>
      </c>
      <c r="F663" s="18">
        <f ca="1"/>
        <v>-0.50468678049486337</v>
      </c>
      <c r="G663" s="18">
        <f ca="1"/>
        <v>0.90448519714701581</v>
      </c>
      <c r="H663" s="18">
        <f ca="1"/>
        <v>-0.87797676213712261</v>
      </c>
      <c r="I663" s="18">
        <f ca="1"/>
        <v>-0.18441688585852933</v>
      </c>
      <c r="J663" s="18">
        <f ca="1"/>
        <v>0.1259943231225904</v>
      </c>
      <c r="K663" s="18">
        <f ca="1"/>
        <v>-4.135979565266501E-2</v>
      </c>
      <c r="L663" s="18">
        <f ca="1"/>
        <v>0.10331806801604682</v>
      </c>
      <c r="O663" s="12">
        <f ca="1"/>
        <v>0.68991877705487836</v>
      </c>
      <c r="P663" s="13">
        <f ca="1"/>
        <v>-0.69480068806432194</v>
      </c>
      <c r="Q663" s="13">
        <f ca="1"/>
        <v>-0.21522740897664921</v>
      </c>
      <c r="R663" s="13">
        <f ca="1"/>
        <v>0.71427839839180884</v>
      </c>
      <c r="S663" s="13">
        <f ca="1"/>
        <v>1.0316229388381808</v>
      </c>
      <c r="T663" s="13">
        <f ca="1"/>
        <v>-0.64511873331873482</v>
      </c>
      <c r="U663" s="13">
        <f ca="1"/>
        <v>-1.0547292417480401</v>
      </c>
      <c r="V663" s="13">
        <f ca="1"/>
        <v>0.23998562914041877</v>
      </c>
      <c r="W663" s="13">
        <f ca="1"/>
        <v>1.0305638116817117</v>
      </c>
      <c r="X663" s="13">
        <f ca="1"/>
        <v>1.102747704923799</v>
      </c>
      <c r="Y663" s="13">
        <f ca="1"/>
        <v>0.97892630659026403</v>
      </c>
      <c r="Z663" s="13">
        <f ca="1"/>
        <v>1.0285295931174776</v>
      </c>
      <c r="AA663" s="13">
        <f ca="1"/>
        <v>-1.3412538521902837</v>
      </c>
      <c r="AB663" s="13">
        <f ca="1"/>
        <v>-0.56865570738834192</v>
      </c>
      <c r="AC663" s="13">
        <f ca="1"/>
        <v>8.8257783494788619E-2</v>
      </c>
      <c r="AD663" s="13">
        <f ca="1"/>
        <v>1.2091859253626904</v>
      </c>
      <c r="AE663" s="13">
        <f ca="1"/>
        <v>-0.32335908643001743</v>
      </c>
      <c r="AF663" s="13">
        <f ca="1"/>
        <v>-0.50867084026858478</v>
      </c>
      <c r="AG663" s="13">
        <f ca="1"/>
        <v>1.7449383908816116</v>
      </c>
      <c r="AH663" s="13">
        <f ca="1"/>
        <v>0.64120715185655086</v>
      </c>
      <c r="AI663" s="13">
        <f ca="1"/>
        <v>-0.94760588678845226</v>
      </c>
      <c r="AJ663" s="13">
        <f ca="1"/>
        <v>-0.59009296876217521</v>
      </c>
      <c r="AK663" s="13">
        <f ca="1"/>
        <v>1.2294032304513665</v>
      </c>
      <c r="AL663" s="14">
        <f ca="1"/>
        <v>0.30738829717154603</v>
      </c>
    </row>
    <row r="664" spans="4:38" ht="24" customHeight="1" x14ac:dyDescent="0.3">
      <c r="E664" s="18">
        <f ca="1"/>
        <v>-0.56182551294008309</v>
      </c>
      <c r="F664" s="18">
        <f ca="1"/>
        <v>-0.35023573839743483</v>
      </c>
      <c r="G664" s="18">
        <f ca="1"/>
        <v>-0.56743913546665947</v>
      </c>
      <c r="H664" s="18">
        <f ca="1"/>
        <v>-0.32703387087741165</v>
      </c>
      <c r="I664" s="18">
        <f ca="1"/>
        <v>-0.14905673259929442</v>
      </c>
      <c r="J664" s="18">
        <f ca="1"/>
        <v>-0.73210300135040507</v>
      </c>
      <c r="K664" s="18">
        <f ca="1"/>
        <v>-0.25787427829244081</v>
      </c>
      <c r="L664" s="18">
        <f ca="1"/>
        <v>-0.6861772558550352</v>
      </c>
      <c r="O664" s="12">
        <f ca="1"/>
        <v>-0.84052666226927109</v>
      </c>
      <c r="P664" s="13">
        <f ca="1"/>
        <v>-0.53899332599479699</v>
      </c>
      <c r="Q664" s="13">
        <f ca="1"/>
        <v>-0.29167905433410879</v>
      </c>
      <c r="R664" s="13">
        <f ca="1"/>
        <v>-0.26964714236362558</v>
      </c>
      <c r="S664" s="13">
        <f ca="1"/>
        <v>-0.62400259722465856</v>
      </c>
      <c r="T664" s="13">
        <f ca="1"/>
        <v>1.240361320433637</v>
      </c>
      <c r="U664" s="13">
        <f ca="1"/>
        <v>-1.4607729914356617</v>
      </c>
      <c r="V664" s="13">
        <f ca="1"/>
        <v>1.4148307246197811E-2</v>
      </c>
      <c r="W664" s="13">
        <f ca="1"/>
        <v>1.9155874020923156</v>
      </c>
      <c r="X664" s="13">
        <f ca="1"/>
        <v>-0.74355148196634901</v>
      </c>
      <c r="Y664" s="13">
        <f ca="1"/>
        <v>1.3647152531058453</v>
      </c>
      <c r="Z664" s="13">
        <f ca="1"/>
        <v>-0.25351648183547126</v>
      </c>
      <c r="AA664" s="13">
        <f ca="1"/>
        <v>9.7990503315940863E-2</v>
      </c>
      <c r="AB664" s="13">
        <f ca="1"/>
        <v>0.87305656459435488</v>
      </c>
      <c r="AC664" s="13">
        <f ca="1"/>
        <v>-1.5392999730416483</v>
      </c>
      <c r="AD664" s="13">
        <f ca="1"/>
        <v>0.18722487469690285</v>
      </c>
      <c r="AE664" s="13">
        <f ca="1"/>
        <v>0.33661986709244307</v>
      </c>
      <c r="AF664" s="13">
        <f ca="1"/>
        <v>-1.2188590183595636</v>
      </c>
      <c r="AG664" s="13">
        <f ca="1"/>
        <v>-3.3688719137849592E-2</v>
      </c>
      <c r="AH664" s="13">
        <f ca="1"/>
        <v>0.78741442321593513</v>
      </c>
      <c r="AI664" s="13">
        <f ca="1"/>
        <v>0.30854590649610858</v>
      </c>
      <c r="AJ664" s="13">
        <f ca="1"/>
        <v>1.2800084932123919</v>
      </c>
      <c r="AK664" s="13">
        <f ca="1"/>
        <v>-0.18531294313865426</v>
      </c>
      <c r="AL664" s="14">
        <f ca="1"/>
        <v>0.52571148098819565</v>
      </c>
    </row>
    <row r="665" spans="4:38" ht="24" customHeight="1" x14ac:dyDescent="0.3">
      <c r="E665" s="18">
        <f ca="1"/>
        <v>-0.78216006477854982</v>
      </c>
      <c r="F665" s="18">
        <f ca="1"/>
        <v>-3.3732858760657791E-2</v>
      </c>
      <c r="G665" s="18">
        <f ca="1"/>
        <v>-0.88009808336366868</v>
      </c>
      <c r="H665" s="18">
        <f ca="1"/>
        <v>0.74410958549548578</v>
      </c>
      <c r="I665" s="18">
        <f ca="1"/>
        <v>-0.14212033583841777</v>
      </c>
      <c r="J665" s="18">
        <f ca="1"/>
        <v>-0.82168230627933037</v>
      </c>
      <c r="K665" s="18">
        <f ca="1"/>
        <v>-0.43492135320443293</v>
      </c>
      <c r="L665" s="18">
        <f ca="1"/>
        <v>-0.27058719699257106</v>
      </c>
      <c r="O665" s="12">
        <f ca="1"/>
        <v>-0.16779964825985719</v>
      </c>
      <c r="P665" s="13">
        <f ca="1"/>
        <v>-0.70998874363959874</v>
      </c>
      <c r="Q665" s="13">
        <f ca="1"/>
        <v>-6.2794657628397324E-2</v>
      </c>
      <c r="R665" s="13">
        <f ca="1"/>
        <v>0.44043791300555779</v>
      </c>
      <c r="S665" s="13">
        <f ca="1"/>
        <v>-0.53983559974280382</v>
      </c>
      <c r="T665" s="13">
        <f ca="1"/>
        <v>1.4706684820759952</v>
      </c>
      <c r="U665" s="13">
        <f ca="1"/>
        <v>-1.2523941294970968</v>
      </c>
      <c r="V665" s="13">
        <f ca="1"/>
        <v>0.47481466885525225</v>
      </c>
      <c r="W665" s="13">
        <f ca="1"/>
        <v>0.87777932071609621</v>
      </c>
      <c r="X665" s="13">
        <f ca="1"/>
        <v>-1.1136997640032023</v>
      </c>
      <c r="Y665" s="13">
        <f ca="1"/>
        <v>1.1412388872694379</v>
      </c>
      <c r="Z665" s="13">
        <f ca="1"/>
        <v>-1.2125588928131454</v>
      </c>
      <c r="AA665" s="13">
        <f ca="1"/>
        <v>1.2956960719735011E-2</v>
      </c>
      <c r="AB665" s="13">
        <f ca="1"/>
        <v>1.0228838678175882</v>
      </c>
      <c r="AC665" s="13">
        <f ca="1"/>
        <v>-0.85038823709433509</v>
      </c>
      <c r="AD665" s="13">
        <f ca="1"/>
        <v>-8.4133297474760366E-2</v>
      </c>
      <c r="AE665" s="13">
        <f ca="1"/>
        <v>0.17614009362708594</v>
      </c>
      <c r="AF665" s="13">
        <f ca="1"/>
        <v>-1.1235041077628731</v>
      </c>
      <c r="AG665" s="13">
        <f ca="1"/>
        <v>-0.24163713649633861</v>
      </c>
      <c r="AH665" s="13">
        <f ca="1"/>
        <v>-0.89887662335836982</v>
      </c>
      <c r="AI665" s="13">
        <f ca="1"/>
        <v>1.6012545940776313</v>
      </c>
      <c r="AJ665" s="13">
        <f ca="1"/>
        <v>0.30139317950242972</v>
      </c>
      <c r="AK665" s="13">
        <f ca="1"/>
        <v>0.64549299967023632</v>
      </c>
      <c r="AL665" s="14">
        <f ca="1"/>
        <v>1.1289243156644786</v>
      </c>
    </row>
    <row r="666" spans="4:38" ht="24" customHeight="1" x14ac:dyDescent="0.3">
      <c r="E666" s="18">
        <f ca="1"/>
        <v>-0.51753407798170414</v>
      </c>
      <c r="F666" s="18">
        <f ca="1"/>
        <v>0.37277616663807667</v>
      </c>
      <c r="G666" s="18">
        <f ca="1"/>
        <v>0.27722230185936469</v>
      </c>
      <c r="H666" s="18">
        <f ca="1"/>
        <v>-0.50016013262196291</v>
      </c>
      <c r="I666" s="18">
        <f ca="1"/>
        <v>0.99559409170042112</v>
      </c>
      <c r="J666" s="18">
        <f ca="1"/>
        <v>-0.8708631322532252</v>
      </c>
      <c r="K666" s="18">
        <f ca="1"/>
        <v>0.55196296724337612</v>
      </c>
      <c r="L666" s="18">
        <f ca="1"/>
        <v>-7.2222693460922471E-2</v>
      </c>
      <c r="O666" s="12">
        <f ca="1"/>
        <v>0.54719203471889533</v>
      </c>
      <c r="P666" s="13">
        <f ca="1"/>
        <v>-0.67829403549437606</v>
      </c>
      <c r="Q666" s="13">
        <f ca="1"/>
        <v>-0.9380720163974311</v>
      </c>
      <c r="R666" s="13">
        <f ca="1"/>
        <v>0.69448815021438004</v>
      </c>
      <c r="S666" s="13">
        <f ca="1"/>
        <v>2.2167208628130641</v>
      </c>
      <c r="T666" s="13">
        <f ca="1"/>
        <v>0.99565155137775962</v>
      </c>
      <c r="U666" s="13">
        <f ca="1"/>
        <v>0.17232191836376121</v>
      </c>
      <c r="V666" s="13">
        <f ca="1"/>
        <v>-1.2798883035306476</v>
      </c>
      <c r="W666" s="13">
        <f ca="1"/>
        <v>1.6736576027478913</v>
      </c>
      <c r="X666" s="13">
        <f ca="1"/>
        <v>0.76486949063908849</v>
      </c>
      <c r="Y666" s="13">
        <f ca="1"/>
        <v>0.70025777096263087</v>
      </c>
      <c r="Z666" s="13">
        <f ca="1"/>
        <v>1.5800928527836162</v>
      </c>
      <c r="AA666" s="13">
        <f ca="1"/>
        <v>-1.0985928805426084</v>
      </c>
      <c r="AB666" s="13">
        <f ca="1"/>
        <v>0.9341397009507707</v>
      </c>
      <c r="AC666" s="13">
        <f ca="1"/>
        <v>0.93984190881781193</v>
      </c>
      <c r="AD666" s="13">
        <f ca="1"/>
        <v>0.17702915224394269</v>
      </c>
      <c r="AE666" s="13">
        <f ca="1"/>
        <v>-1.6333426085076979</v>
      </c>
      <c r="AF666" s="13">
        <f ca="1"/>
        <v>-0.7341210479398812</v>
      </c>
      <c r="AG666" s="13">
        <f ca="1"/>
        <v>0.50110450772905524</v>
      </c>
      <c r="AH666" s="13">
        <f ca="1"/>
        <v>-0.54844952464621866</v>
      </c>
      <c r="AI666" s="13">
        <f ca="1"/>
        <v>-0.57195032461293294</v>
      </c>
      <c r="AJ666" s="13">
        <f ca="1"/>
        <v>0.29881952329393063</v>
      </c>
      <c r="AK666" s="13">
        <f ca="1"/>
        <v>-0.67436495579387512</v>
      </c>
      <c r="AL666" s="14">
        <f ca="1"/>
        <v>-0.14271890878730148</v>
      </c>
    </row>
    <row r="667" spans="4:38" ht="24" customHeight="1" x14ac:dyDescent="0.3">
      <c r="E667" s="18">
        <f ca="1"/>
        <v>2.3421599943939775E-2</v>
      </c>
      <c r="F667" s="18">
        <f ca="1"/>
        <v>0.45851286780306166</v>
      </c>
      <c r="G667" s="18">
        <f ca="1"/>
        <v>-0.87156791047995208</v>
      </c>
      <c r="H667" s="18">
        <f ca="1"/>
        <v>4.4690628778842001E-2</v>
      </c>
      <c r="I667" s="18">
        <f ca="1"/>
        <v>-8.7454599965336666E-2</v>
      </c>
      <c r="J667" s="18">
        <f ca="1"/>
        <v>-0.55909273472904619</v>
      </c>
      <c r="K667" s="18">
        <f ca="1"/>
        <v>-1.61915318366046E-2</v>
      </c>
      <c r="L667" s="18">
        <f ca="1"/>
        <v>0.10773603154496936</v>
      </c>
      <c r="O667" s="12">
        <f ca="1"/>
        <v>-0.37503422956791199</v>
      </c>
      <c r="P667" s="13">
        <f ca="1"/>
        <v>0.1141592083795068</v>
      </c>
      <c r="Q667" s="13">
        <f ca="1"/>
        <v>0.48333570595899017</v>
      </c>
      <c r="R667" s="13">
        <f ca="1"/>
        <v>0.17518611021685027</v>
      </c>
      <c r="S667" s="13">
        <f ca="1"/>
        <v>2.0783405861379445E-2</v>
      </c>
      <c r="T667" s="13">
        <f ca="1"/>
        <v>1.423854052686258</v>
      </c>
      <c r="U667" s="13">
        <f ca="1"/>
        <v>-0.13403857857058948</v>
      </c>
      <c r="V667" s="13">
        <f ca="1"/>
        <v>2.0815221003227989E-2</v>
      </c>
      <c r="W667" s="13">
        <f ca="1"/>
        <v>0.21886410735258174</v>
      </c>
      <c r="X667" s="13">
        <f ca="1"/>
        <v>-0.42999955651823152</v>
      </c>
      <c r="Y667" s="13">
        <f ca="1"/>
        <v>0.45088447549703475</v>
      </c>
      <c r="Z667" s="13">
        <f ca="1"/>
        <v>-0.46789833307908468</v>
      </c>
      <c r="AA667" s="13">
        <f ca="1"/>
        <v>0.6041840049988797</v>
      </c>
      <c r="AB667" s="13">
        <f ca="1"/>
        <v>0.3902782785357396</v>
      </c>
      <c r="AC667" s="13">
        <f ca="1"/>
        <v>-0.62189793990723752</v>
      </c>
      <c r="AD667" s="13">
        <f ca="1"/>
        <v>0.56972773553528189</v>
      </c>
      <c r="AE667" s="13">
        <f ca="1"/>
        <v>-0.11713352829007551</v>
      </c>
      <c r="AF667" s="13">
        <f ca="1"/>
        <v>-0.96699842542042147</v>
      </c>
      <c r="AG667" s="13">
        <f ca="1"/>
        <v>-1.191406141466661</v>
      </c>
      <c r="AH667" s="13">
        <f ca="1"/>
        <v>-0.37217840894505583</v>
      </c>
      <c r="AI667" s="13">
        <f ca="1"/>
        <v>0.68813111492801005</v>
      </c>
      <c r="AJ667" s="13">
        <f ca="1"/>
        <v>0.40332184753905476</v>
      </c>
      <c r="AK667" s="13">
        <f ca="1"/>
        <v>-0.74682286612546589</v>
      </c>
      <c r="AL667" s="14">
        <f ca="1"/>
        <v>-0.34076048436720313</v>
      </c>
    </row>
    <row r="668" spans="4:38" ht="24" customHeight="1" x14ac:dyDescent="0.3">
      <c r="E668" s="18">
        <f ca="1"/>
        <v>-0.70299393726553605</v>
      </c>
      <c r="F668" s="18">
        <f ca="1"/>
        <v>-0.53140577772307696</v>
      </c>
      <c r="G668" s="18">
        <f ca="1"/>
        <v>-0.62590984888420342</v>
      </c>
      <c r="H668" s="18">
        <f ca="1"/>
        <v>-0.45507243134538777</v>
      </c>
      <c r="I668" s="18">
        <f ca="1"/>
        <v>0.34325742627425848</v>
      </c>
      <c r="J668" s="18">
        <f ca="1"/>
        <v>0.57085836977876125</v>
      </c>
      <c r="K668" s="18">
        <f ca="1"/>
        <v>-0.92127080551559182</v>
      </c>
      <c r="L668" s="18">
        <f ca="1"/>
        <v>0.67320365444736119</v>
      </c>
      <c r="O668" s="12">
        <f ca="1"/>
        <v>0.14926842274370167</v>
      </c>
      <c r="P668" s="13">
        <f ca="1"/>
        <v>0.13498125001115779</v>
      </c>
      <c r="Q668" s="13">
        <f ca="1"/>
        <v>1.2166308336849359</v>
      </c>
      <c r="R668" s="13">
        <f ca="1"/>
        <v>0.10438117377441219</v>
      </c>
      <c r="S668" s="13">
        <f ca="1"/>
        <v>0.16544076024537469</v>
      </c>
      <c r="T668" s="13">
        <f ca="1"/>
        <v>-0.60986423022305125</v>
      </c>
      <c r="U668" s="13">
        <f ca="1"/>
        <v>-0.5615968288109453</v>
      </c>
      <c r="V668" s="13">
        <f ca="1"/>
        <v>0.3362013916417676</v>
      </c>
      <c r="W668" s="13">
        <f ca="1"/>
        <v>-0.16790676491995893</v>
      </c>
      <c r="X668" s="13">
        <f ca="1"/>
        <v>1.4837005321258749</v>
      </c>
      <c r="Y668" s="13">
        <f ca="1"/>
        <v>-3.9902889665444918E-3</v>
      </c>
      <c r="Z668" s="13">
        <f ca="1"/>
        <v>0.47638854992871144</v>
      </c>
      <c r="AA668" s="13">
        <f ca="1"/>
        <v>-1.4503658089702209</v>
      </c>
      <c r="AB668" s="13">
        <f ca="1"/>
        <v>0.47326857729270622</v>
      </c>
      <c r="AC668" s="13">
        <f ca="1"/>
        <v>-0.74089589651829646</v>
      </c>
      <c r="AD668" s="13">
        <f ca="1"/>
        <v>1.6014548355007037</v>
      </c>
      <c r="AE668" s="13">
        <f ca="1"/>
        <v>1.1592852030737939</v>
      </c>
      <c r="AF668" s="13">
        <f ca="1"/>
        <v>0.81879390017155762</v>
      </c>
      <c r="AG668" s="13">
        <f ca="1"/>
        <v>1.032670551151307</v>
      </c>
      <c r="AH668" s="13">
        <f ca="1"/>
        <v>-1.3458674922647695</v>
      </c>
      <c r="AI668" s="13">
        <f ca="1"/>
        <v>-0.68838175204013741</v>
      </c>
      <c r="AJ668" s="13">
        <f ca="1"/>
        <v>0.9397708592878935</v>
      </c>
      <c r="AK668" s="13">
        <f ca="1"/>
        <v>0.90995154295252556</v>
      </c>
      <c r="AL668" s="14">
        <f ca="1"/>
        <v>0.10952644918135801</v>
      </c>
    </row>
    <row r="669" spans="4:38" ht="24" customHeight="1" x14ac:dyDescent="0.3">
      <c r="E669" s="18">
        <f ca="1"/>
        <v>-0.97129859773778371</v>
      </c>
      <c r="F669" s="18">
        <f ca="1"/>
        <v>0.90280395228497978</v>
      </c>
      <c r="G669" s="18">
        <f ca="1"/>
        <v>-0.72263889892616895</v>
      </c>
      <c r="H669" s="18">
        <f ca="1"/>
        <v>0.1005105574434153</v>
      </c>
      <c r="I669" s="18">
        <f ca="1"/>
        <v>-1.5512022494875044E-2</v>
      </c>
      <c r="J669" s="18">
        <f ca="1"/>
        <v>-0.74674556116318813</v>
      </c>
      <c r="K669" s="18">
        <f ca="1"/>
        <v>-0.87310997240636645</v>
      </c>
      <c r="L669" s="18">
        <f ca="1"/>
        <v>0.71152568815259443</v>
      </c>
      <c r="O669" s="15">
        <f ca="1"/>
        <v>0.13296287178068511</v>
      </c>
      <c r="P669" s="16">
        <f ca="1"/>
        <v>-1.480650225795112</v>
      </c>
      <c r="Q669" s="16">
        <f ca="1"/>
        <v>1.2944779439748688</v>
      </c>
      <c r="R669" s="16">
        <f ca="1"/>
        <v>1.4449468470045443</v>
      </c>
      <c r="S669" s="16">
        <f ca="1"/>
        <v>1.0793234089972252</v>
      </c>
      <c r="T669" s="16">
        <f ca="1"/>
        <v>1.3181673204115241</v>
      </c>
      <c r="U669" s="16">
        <f ca="1"/>
        <v>-1.4615371346404282</v>
      </c>
      <c r="V669" s="16">
        <f ca="1"/>
        <v>1.1100669326965593</v>
      </c>
      <c r="W669" s="16">
        <f ca="1"/>
        <v>0.13097767580075381</v>
      </c>
      <c r="X669" s="16">
        <f ca="1"/>
        <v>0.95641610986255043</v>
      </c>
      <c r="Y669" s="16">
        <f ca="1"/>
        <v>0.48016407057401345</v>
      </c>
      <c r="Z669" s="16">
        <f ca="1"/>
        <v>-0.48739497442719737</v>
      </c>
      <c r="AA669" s="16">
        <f ca="1"/>
        <v>-1.3447831630996323</v>
      </c>
      <c r="AB669" s="16">
        <f ca="1"/>
        <v>0.33215622474219664</v>
      </c>
      <c r="AC669" s="16">
        <f ca="1"/>
        <v>-0.27055263013373287</v>
      </c>
      <c r="AD669" s="16">
        <f ca="1"/>
        <v>1.7573589574243766</v>
      </c>
      <c r="AE669" s="16">
        <f ca="1"/>
        <v>-0.28173095624422939</v>
      </c>
      <c r="AF669" s="16">
        <f ca="1"/>
        <v>-1.5291490780642538</v>
      </c>
      <c r="AG669" s="16">
        <f ca="1"/>
        <v>2.2294460356571136E-2</v>
      </c>
      <c r="AH669" s="16">
        <f ca="1"/>
        <v>-0.9584839091986741</v>
      </c>
      <c r="AI669" s="16">
        <f ca="1"/>
        <v>0.80898572912158206</v>
      </c>
      <c r="AJ669" s="16">
        <f ca="1"/>
        <v>-0.49248634277703435</v>
      </c>
      <c r="AK669" s="16">
        <f ca="1"/>
        <v>0.73030836415482803</v>
      </c>
      <c r="AL669" s="17">
        <f ca="1"/>
        <v>-0.49050482681968949</v>
      </c>
    </row>
    <row r="683" spans="14:38" ht="24" customHeight="1" x14ac:dyDescent="0.3">
      <c r="N683" s="7" t="s">
        <v>181</v>
      </c>
      <c r="O683" s="8" cm="1">
        <f t="array" ref="O683:AL690">IF((_xlfn.SEQUENCE(F637,1)=2)+(_xlfn.SEQUENCE(F637,1)=5)+(_xlfn.SEQUENCE(F637,1)=8)&gt;0,IF(_xlfn.SEQUENCE(1,F635)&gt;0,F639,0),0)</f>
        <v>0</v>
      </c>
      <c r="P683" s="8">
        <v>0</v>
      </c>
      <c r="Q683" s="8">
        <v>0</v>
      </c>
      <c r="R683" s="8">
        <v>0</v>
      </c>
      <c r="S683" s="8">
        <v>0</v>
      </c>
      <c r="T683" s="8">
        <v>0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  <c r="AK683" s="8">
        <v>0</v>
      </c>
      <c r="AL683" s="8">
        <v>0</v>
      </c>
    </row>
    <row r="684" spans="14:38" ht="24" customHeight="1" x14ac:dyDescent="0.3">
      <c r="O684" s="8">
        <v>3</v>
      </c>
      <c r="P684" s="8">
        <v>3</v>
      </c>
      <c r="Q684" s="8">
        <v>3</v>
      </c>
      <c r="R684" s="8">
        <v>3</v>
      </c>
      <c r="S684" s="8">
        <v>3</v>
      </c>
      <c r="T684" s="8">
        <v>3</v>
      </c>
      <c r="U684" s="8">
        <v>3</v>
      </c>
      <c r="V684" s="8">
        <v>3</v>
      </c>
      <c r="W684" s="8">
        <v>3</v>
      </c>
      <c r="X684" s="8">
        <v>3</v>
      </c>
      <c r="Y684" s="8">
        <v>3</v>
      </c>
      <c r="Z684" s="8">
        <v>3</v>
      </c>
      <c r="AA684" s="8">
        <v>3</v>
      </c>
      <c r="AB684" s="8">
        <v>3</v>
      </c>
      <c r="AC684" s="8">
        <v>3</v>
      </c>
      <c r="AD684" s="8">
        <v>3</v>
      </c>
      <c r="AE684" s="8">
        <v>3</v>
      </c>
      <c r="AF684" s="8">
        <v>3</v>
      </c>
      <c r="AG684" s="8">
        <v>3</v>
      </c>
      <c r="AH684" s="8">
        <v>3</v>
      </c>
      <c r="AI684" s="8">
        <v>3</v>
      </c>
      <c r="AJ684" s="8">
        <v>3</v>
      </c>
      <c r="AK684" s="8">
        <v>3</v>
      </c>
      <c r="AL684" s="8">
        <v>3</v>
      </c>
    </row>
    <row r="685" spans="14:38" ht="24" customHeight="1" x14ac:dyDescent="0.3">
      <c r="O685" s="8">
        <v>0</v>
      </c>
      <c r="P685" s="8">
        <v>0</v>
      </c>
      <c r="Q685" s="8">
        <v>0</v>
      </c>
      <c r="R685" s="8">
        <v>0</v>
      </c>
      <c r="S685" s="8">
        <v>0</v>
      </c>
      <c r="T685" s="8">
        <v>0</v>
      </c>
      <c r="U685" s="8">
        <v>0</v>
      </c>
      <c r="V685" s="8">
        <v>0</v>
      </c>
      <c r="W685" s="8">
        <v>0</v>
      </c>
      <c r="X685" s="8">
        <v>0</v>
      </c>
      <c r="Y685" s="8">
        <v>0</v>
      </c>
      <c r="Z685" s="8">
        <v>0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  <c r="AK685" s="8">
        <v>0</v>
      </c>
      <c r="AL685" s="8">
        <v>0</v>
      </c>
    </row>
    <row r="686" spans="14:38" ht="24" customHeight="1" x14ac:dyDescent="0.3"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0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  <c r="AK686" s="8">
        <v>0</v>
      </c>
      <c r="AL686" s="8">
        <v>0</v>
      </c>
    </row>
    <row r="687" spans="14:38" ht="24" customHeight="1" x14ac:dyDescent="0.3">
      <c r="O687" s="8">
        <v>3</v>
      </c>
      <c r="P687" s="8">
        <v>3</v>
      </c>
      <c r="Q687" s="8">
        <v>3</v>
      </c>
      <c r="R687" s="8">
        <v>3</v>
      </c>
      <c r="S687" s="8">
        <v>3</v>
      </c>
      <c r="T687" s="8">
        <v>3</v>
      </c>
      <c r="U687" s="8">
        <v>3</v>
      </c>
      <c r="V687" s="8">
        <v>3</v>
      </c>
      <c r="W687" s="8">
        <v>3</v>
      </c>
      <c r="X687" s="8">
        <v>3</v>
      </c>
      <c r="Y687" s="8">
        <v>3</v>
      </c>
      <c r="Z687" s="8">
        <v>3</v>
      </c>
      <c r="AA687" s="8">
        <v>3</v>
      </c>
      <c r="AB687" s="8">
        <v>3</v>
      </c>
      <c r="AC687" s="8">
        <v>3</v>
      </c>
      <c r="AD687" s="8">
        <v>3</v>
      </c>
      <c r="AE687" s="8">
        <v>3</v>
      </c>
      <c r="AF687" s="8">
        <v>3</v>
      </c>
      <c r="AG687" s="8">
        <v>3</v>
      </c>
      <c r="AH687" s="8">
        <v>3</v>
      </c>
      <c r="AI687" s="8">
        <v>3</v>
      </c>
      <c r="AJ687" s="8">
        <v>3</v>
      </c>
      <c r="AK687" s="8">
        <v>3</v>
      </c>
      <c r="AL687" s="8">
        <v>3</v>
      </c>
    </row>
    <row r="688" spans="14:38" ht="24" customHeight="1" x14ac:dyDescent="0.3">
      <c r="O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0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  <c r="AK688" s="8">
        <v>0</v>
      </c>
      <c r="AL688" s="8">
        <v>0</v>
      </c>
    </row>
    <row r="689" spans="14:38" ht="24" customHeight="1" x14ac:dyDescent="0.3"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0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  <c r="AK689" s="8">
        <v>0</v>
      </c>
      <c r="AL689" s="8">
        <v>0</v>
      </c>
    </row>
    <row r="690" spans="14:38" ht="24" customHeight="1" x14ac:dyDescent="0.3">
      <c r="O690" s="8">
        <v>3</v>
      </c>
      <c r="P690" s="8">
        <v>3</v>
      </c>
      <c r="Q690" s="8">
        <v>3</v>
      </c>
      <c r="R690" s="8">
        <v>3</v>
      </c>
      <c r="S690" s="8">
        <v>3</v>
      </c>
      <c r="T690" s="8">
        <v>3</v>
      </c>
      <c r="U690" s="8">
        <v>3</v>
      </c>
      <c r="V690" s="8">
        <v>3</v>
      </c>
      <c r="W690" s="8">
        <v>3</v>
      </c>
      <c r="X690" s="8">
        <v>3</v>
      </c>
      <c r="Y690" s="8">
        <v>3</v>
      </c>
      <c r="Z690" s="8">
        <v>3</v>
      </c>
      <c r="AA690" s="8">
        <v>3</v>
      </c>
      <c r="AB690" s="8">
        <v>3</v>
      </c>
      <c r="AC690" s="8">
        <v>3</v>
      </c>
      <c r="AD690" s="8">
        <v>3</v>
      </c>
      <c r="AE690" s="8">
        <v>3</v>
      </c>
      <c r="AF690" s="8">
        <v>3</v>
      </c>
      <c r="AG690" s="8">
        <v>3</v>
      </c>
      <c r="AH690" s="8">
        <v>3</v>
      </c>
      <c r="AI690" s="8">
        <v>3</v>
      </c>
      <c r="AJ690" s="8">
        <v>3</v>
      </c>
      <c r="AK690" s="8">
        <v>3</v>
      </c>
      <c r="AL690" s="8">
        <v>3</v>
      </c>
    </row>
    <row r="692" spans="14:38" ht="24" customHeight="1" x14ac:dyDescent="0.3">
      <c r="N692" s="7" t="s">
        <v>182</v>
      </c>
      <c r="O692" s="9" cm="1">
        <f t="array" aca="1" ref="O692:AL699" ca="1">_xlfn.ANCHORARRAY(O662)+_xlfn.ANCHORARRAY(O683)</f>
        <v>1.1951013631292893</v>
      </c>
      <c r="P692" s="10">
        <f ca="1"/>
        <v>2.4476700625158876</v>
      </c>
      <c r="Q692" s="10">
        <f ca="1"/>
        <v>0.70376982688825085</v>
      </c>
      <c r="R692" s="10">
        <f ca="1"/>
        <v>0.2452683019398012</v>
      </c>
      <c r="S692" s="10">
        <f ca="1"/>
        <v>1.850892234240431E-2</v>
      </c>
      <c r="T692" s="10">
        <f ca="1"/>
        <v>0.24363098264415498</v>
      </c>
      <c r="U692" s="10">
        <f ca="1"/>
        <v>1.2437227237792061</v>
      </c>
      <c r="V692" s="10">
        <f ca="1"/>
        <v>-0.45375350241969575</v>
      </c>
      <c r="W692" s="10">
        <f ca="1"/>
        <v>-0.94652134324101678</v>
      </c>
      <c r="X692" s="10">
        <f ca="1"/>
        <v>-0.37377906704573993</v>
      </c>
      <c r="Y692" s="10">
        <f ca="1"/>
        <v>1.0240459840690053</v>
      </c>
      <c r="Z692" s="10">
        <f ca="1"/>
        <v>-0.14653014802174213</v>
      </c>
      <c r="AA692" s="10">
        <f ca="1"/>
        <v>1.064886320955029</v>
      </c>
      <c r="AB692" s="10">
        <f ca="1"/>
        <v>-0.12329825930303001</v>
      </c>
      <c r="AC692" s="10">
        <f ca="1"/>
        <v>-0.4151999961858821</v>
      </c>
      <c r="AD692" s="10">
        <f ca="1"/>
        <v>1.5965977287460924</v>
      </c>
      <c r="AE692" s="10">
        <f ca="1"/>
        <v>0.58557951835632338</v>
      </c>
      <c r="AF692" s="10">
        <f ca="1"/>
        <v>0.54024134060799056</v>
      </c>
      <c r="AG692" s="10">
        <f ca="1"/>
        <v>-0.68384645486022111</v>
      </c>
      <c r="AH692" s="10">
        <f ca="1"/>
        <v>-2.8211880058818126</v>
      </c>
      <c r="AI692" s="10">
        <f ca="1"/>
        <v>0.57864275290660139</v>
      </c>
      <c r="AJ692" s="10">
        <f ca="1"/>
        <v>-6.2985115327568453E-3</v>
      </c>
      <c r="AK692" s="10">
        <f ca="1"/>
        <v>0.40196823039952823</v>
      </c>
      <c r="AL692" s="11">
        <f ca="1"/>
        <v>1.0921332643683725</v>
      </c>
    </row>
    <row r="693" spans="14:38" ht="24" customHeight="1" x14ac:dyDescent="0.3">
      <c r="O693" s="12">
        <f ca="1"/>
        <v>3.6899187770548783</v>
      </c>
      <c r="P693" s="13">
        <f ca="1"/>
        <v>2.3051993119356782</v>
      </c>
      <c r="Q693" s="13">
        <f ca="1"/>
        <v>2.784772591023351</v>
      </c>
      <c r="R693" s="13">
        <f ca="1"/>
        <v>3.7142783983918086</v>
      </c>
      <c r="S693" s="13">
        <f ca="1"/>
        <v>4.031622938838181</v>
      </c>
      <c r="T693" s="13">
        <f ca="1"/>
        <v>2.3548812666812653</v>
      </c>
      <c r="U693" s="13">
        <f ca="1"/>
        <v>1.9452707582519599</v>
      </c>
      <c r="V693" s="13">
        <f ca="1"/>
        <v>3.2399856291404188</v>
      </c>
      <c r="W693" s="13">
        <f ca="1"/>
        <v>4.030563811681712</v>
      </c>
      <c r="X693" s="13">
        <f ca="1"/>
        <v>4.1027477049237993</v>
      </c>
      <c r="Y693" s="13">
        <f ca="1"/>
        <v>3.9789263065902638</v>
      </c>
      <c r="Z693" s="13">
        <f ca="1"/>
        <v>4.0285295931174776</v>
      </c>
      <c r="AA693" s="13">
        <f ca="1"/>
        <v>1.6587461478097163</v>
      </c>
      <c r="AB693" s="13">
        <f ca="1"/>
        <v>2.4313442926116582</v>
      </c>
      <c r="AC693" s="13">
        <f ca="1"/>
        <v>3.0882577834947886</v>
      </c>
      <c r="AD693" s="13">
        <f ca="1"/>
        <v>4.2091859253626902</v>
      </c>
      <c r="AE693" s="13">
        <f ca="1"/>
        <v>2.6766409135699827</v>
      </c>
      <c r="AF693" s="13">
        <f ca="1"/>
        <v>2.4913291597314151</v>
      </c>
      <c r="AG693" s="13">
        <f ca="1"/>
        <v>4.7449383908816118</v>
      </c>
      <c r="AH693" s="13">
        <f ca="1"/>
        <v>3.641207151856551</v>
      </c>
      <c r="AI693" s="13">
        <f ca="1"/>
        <v>2.0523941132115477</v>
      </c>
      <c r="AJ693" s="13">
        <f ca="1"/>
        <v>2.4099070312378248</v>
      </c>
      <c r="AK693" s="13">
        <f ca="1"/>
        <v>4.229403230451366</v>
      </c>
      <c r="AL693" s="14">
        <f ca="1"/>
        <v>3.307388297171546</v>
      </c>
    </row>
    <row r="694" spans="14:38" ht="24" customHeight="1" x14ac:dyDescent="0.3">
      <c r="O694" s="12">
        <f ca="1"/>
        <v>-0.84052666226927109</v>
      </c>
      <c r="P694" s="13">
        <f ca="1"/>
        <v>-0.53899332599479699</v>
      </c>
      <c r="Q694" s="13">
        <f ca="1"/>
        <v>-0.29167905433410879</v>
      </c>
      <c r="R694" s="13">
        <f ca="1"/>
        <v>-0.26964714236362558</v>
      </c>
      <c r="S694" s="13">
        <f ca="1"/>
        <v>-0.62400259722465856</v>
      </c>
      <c r="T694" s="13">
        <f ca="1"/>
        <v>1.240361320433637</v>
      </c>
      <c r="U694" s="13">
        <f ca="1"/>
        <v>-1.4607729914356617</v>
      </c>
      <c r="V694" s="13">
        <f ca="1"/>
        <v>1.4148307246197811E-2</v>
      </c>
      <c r="W694" s="13">
        <f ca="1"/>
        <v>1.9155874020923156</v>
      </c>
      <c r="X694" s="13">
        <f ca="1"/>
        <v>-0.74355148196634901</v>
      </c>
      <c r="Y694" s="13">
        <f ca="1"/>
        <v>1.3647152531058453</v>
      </c>
      <c r="Z694" s="13">
        <f ca="1"/>
        <v>-0.25351648183547126</v>
      </c>
      <c r="AA694" s="13">
        <f ca="1"/>
        <v>9.7990503315940863E-2</v>
      </c>
      <c r="AB694" s="13">
        <f ca="1"/>
        <v>0.87305656459435488</v>
      </c>
      <c r="AC694" s="13">
        <f ca="1"/>
        <v>-1.5392999730416483</v>
      </c>
      <c r="AD694" s="13">
        <f ca="1"/>
        <v>0.18722487469690285</v>
      </c>
      <c r="AE694" s="13">
        <f ca="1"/>
        <v>0.33661986709244307</v>
      </c>
      <c r="AF694" s="13">
        <f ca="1"/>
        <v>-1.2188590183595636</v>
      </c>
      <c r="AG694" s="13">
        <f ca="1"/>
        <v>-3.3688719137849592E-2</v>
      </c>
      <c r="AH694" s="13">
        <f ca="1"/>
        <v>0.78741442321593513</v>
      </c>
      <c r="AI694" s="13">
        <f ca="1"/>
        <v>0.30854590649610858</v>
      </c>
      <c r="AJ694" s="13">
        <f ca="1"/>
        <v>1.2800084932123919</v>
      </c>
      <c r="AK694" s="13">
        <f ca="1"/>
        <v>-0.18531294313865426</v>
      </c>
      <c r="AL694" s="14">
        <f ca="1"/>
        <v>0.52571148098819565</v>
      </c>
    </row>
    <row r="695" spans="14:38" ht="24" customHeight="1" x14ac:dyDescent="0.3">
      <c r="O695" s="12">
        <f ca="1"/>
        <v>-0.16779964825985719</v>
      </c>
      <c r="P695" s="13">
        <f ca="1"/>
        <v>-0.70998874363959874</v>
      </c>
      <c r="Q695" s="13">
        <f ca="1"/>
        <v>-6.2794657628397324E-2</v>
      </c>
      <c r="R695" s="13">
        <f ca="1"/>
        <v>0.44043791300555779</v>
      </c>
      <c r="S695" s="13">
        <f ca="1"/>
        <v>-0.53983559974280382</v>
      </c>
      <c r="T695" s="13">
        <f ca="1"/>
        <v>1.4706684820759952</v>
      </c>
      <c r="U695" s="13">
        <f ca="1"/>
        <v>-1.2523941294970968</v>
      </c>
      <c r="V695" s="13">
        <f ca="1"/>
        <v>0.47481466885525225</v>
      </c>
      <c r="W695" s="13">
        <f ca="1"/>
        <v>0.87777932071609621</v>
      </c>
      <c r="X695" s="13">
        <f ca="1"/>
        <v>-1.1136997640032023</v>
      </c>
      <c r="Y695" s="13">
        <f ca="1"/>
        <v>1.1412388872694379</v>
      </c>
      <c r="Z695" s="13">
        <f ca="1"/>
        <v>-1.2125588928131454</v>
      </c>
      <c r="AA695" s="13">
        <f ca="1"/>
        <v>1.2956960719735011E-2</v>
      </c>
      <c r="AB695" s="13">
        <f ca="1"/>
        <v>1.0228838678175882</v>
      </c>
      <c r="AC695" s="13">
        <f ca="1"/>
        <v>-0.85038823709433509</v>
      </c>
      <c r="AD695" s="13">
        <f ca="1"/>
        <v>-8.4133297474760366E-2</v>
      </c>
      <c r="AE695" s="13">
        <f ca="1"/>
        <v>0.17614009362708594</v>
      </c>
      <c r="AF695" s="13">
        <f ca="1"/>
        <v>-1.1235041077628731</v>
      </c>
      <c r="AG695" s="13">
        <f ca="1"/>
        <v>-0.24163713649633861</v>
      </c>
      <c r="AH695" s="13">
        <f ca="1"/>
        <v>-0.89887662335836982</v>
      </c>
      <c r="AI695" s="13">
        <f ca="1"/>
        <v>1.6012545940776313</v>
      </c>
      <c r="AJ695" s="13">
        <f ca="1"/>
        <v>0.30139317950242972</v>
      </c>
      <c r="AK695" s="13">
        <f ca="1"/>
        <v>0.64549299967023632</v>
      </c>
      <c r="AL695" s="14">
        <f ca="1"/>
        <v>1.1289243156644786</v>
      </c>
    </row>
    <row r="696" spans="14:38" ht="24" customHeight="1" x14ac:dyDescent="0.3">
      <c r="O696" s="12">
        <f ca="1"/>
        <v>3.5471920347188952</v>
      </c>
      <c r="P696" s="13">
        <f ca="1"/>
        <v>2.3217059645056239</v>
      </c>
      <c r="Q696" s="13">
        <f ca="1"/>
        <v>2.061927983602569</v>
      </c>
      <c r="R696" s="13">
        <f ca="1"/>
        <v>3.6944881502143803</v>
      </c>
      <c r="S696" s="13">
        <f ca="1"/>
        <v>5.2167208628130641</v>
      </c>
      <c r="T696" s="13">
        <f ca="1"/>
        <v>3.9956515513777595</v>
      </c>
      <c r="U696" s="13">
        <f ca="1"/>
        <v>3.1723219183637612</v>
      </c>
      <c r="V696" s="13">
        <f ca="1"/>
        <v>1.7201116964693524</v>
      </c>
      <c r="W696" s="13">
        <f ca="1"/>
        <v>4.6736576027478911</v>
      </c>
      <c r="X696" s="13">
        <f ca="1"/>
        <v>3.7648694906390885</v>
      </c>
      <c r="Y696" s="13">
        <f ca="1"/>
        <v>3.7002577709626308</v>
      </c>
      <c r="Z696" s="13">
        <f ca="1"/>
        <v>4.5800928527836167</v>
      </c>
      <c r="AA696" s="13">
        <f ca="1"/>
        <v>1.9014071194573916</v>
      </c>
      <c r="AB696" s="13">
        <f ca="1"/>
        <v>3.9341397009507708</v>
      </c>
      <c r="AC696" s="13">
        <f ca="1"/>
        <v>3.939841908817812</v>
      </c>
      <c r="AD696" s="13">
        <f ca="1"/>
        <v>3.1770291522439429</v>
      </c>
      <c r="AE696" s="13">
        <f ca="1"/>
        <v>1.3666573914923021</v>
      </c>
      <c r="AF696" s="13">
        <f ca="1"/>
        <v>2.2658789520601186</v>
      </c>
      <c r="AG696" s="13">
        <f ca="1"/>
        <v>3.501104507729055</v>
      </c>
      <c r="AH696" s="13">
        <f ca="1"/>
        <v>2.4515504753537813</v>
      </c>
      <c r="AI696" s="13">
        <f ca="1"/>
        <v>2.4280496753870668</v>
      </c>
      <c r="AJ696" s="13">
        <f ca="1"/>
        <v>3.2988195232939308</v>
      </c>
      <c r="AK696" s="13">
        <f ca="1"/>
        <v>2.3256350442061251</v>
      </c>
      <c r="AL696" s="14">
        <f ca="1"/>
        <v>2.8572810912126987</v>
      </c>
    </row>
    <row r="697" spans="14:38" ht="24" customHeight="1" x14ac:dyDescent="0.3">
      <c r="O697" s="12">
        <f ca="1"/>
        <v>-0.37503422956791199</v>
      </c>
      <c r="P697" s="13">
        <f ca="1"/>
        <v>0.1141592083795068</v>
      </c>
      <c r="Q697" s="13">
        <f ca="1"/>
        <v>0.48333570595899017</v>
      </c>
      <c r="R697" s="13">
        <f ca="1"/>
        <v>0.17518611021685027</v>
      </c>
      <c r="S697" s="13">
        <f ca="1"/>
        <v>2.0783405861379445E-2</v>
      </c>
      <c r="T697" s="13">
        <f ca="1"/>
        <v>1.423854052686258</v>
      </c>
      <c r="U697" s="13">
        <f ca="1"/>
        <v>-0.13403857857058948</v>
      </c>
      <c r="V697" s="13">
        <f ca="1"/>
        <v>2.0815221003227989E-2</v>
      </c>
      <c r="W697" s="13">
        <f ca="1"/>
        <v>0.21886410735258174</v>
      </c>
      <c r="X697" s="13">
        <f ca="1"/>
        <v>-0.42999955651823152</v>
      </c>
      <c r="Y697" s="13">
        <f ca="1"/>
        <v>0.45088447549703475</v>
      </c>
      <c r="Z697" s="13">
        <f ca="1"/>
        <v>-0.46789833307908468</v>
      </c>
      <c r="AA697" s="13">
        <f ca="1"/>
        <v>0.6041840049988797</v>
      </c>
      <c r="AB697" s="13">
        <f ca="1"/>
        <v>0.3902782785357396</v>
      </c>
      <c r="AC697" s="13">
        <f ca="1"/>
        <v>-0.62189793990723752</v>
      </c>
      <c r="AD697" s="13">
        <f ca="1"/>
        <v>0.56972773553528189</v>
      </c>
      <c r="AE697" s="13">
        <f ca="1"/>
        <v>-0.11713352829007551</v>
      </c>
      <c r="AF697" s="13">
        <f ca="1"/>
        <v>-0.96699842542042147</v>
      </c>
      <c r="AG697" s="13">
        <f ca="1"/>
        <v>-1.191406141466661</v>
      </c>
      <c r="AH697" s="13">
        <f ca="1"/>
        <v>-0.37217840894505583</v>
      </c>
      <c r="AI697" s="13">
        <f ca="1"/>
        <v>0.68813111492801005</v>
      </c>
      <c r="AJ697" s="13">
        <f ca="1"/>
        <v>0.40332184753905476</v>
      </c>
      <c r="AK697" s="13">
        <f ca="1"/>
        <v>-0.74682286612546589</v>
      </c>
      <c r="AL697" s="14">
        <f ca="1"/>
        <v>-0.34076048436720313</v>
      </c>
    </row>
    <row r="698" spans="14:38" ht="24" customHeight="1" x14ac:dyDescent="0.3">
      <c r="O698" s="12">
        <f ca="1"/>
        <v>0.14926842274370167</v>
      </c>
      <c r="P698" s="13">
        <f ca="1"/>
        <v>0.13498125001115779</v>
      </c>
      <c r="Q698" s="13">
        <f ca="1"/>
        <v>1.2166308336849359</v>
      </c>
      <c r="R698" s="13">
        <f ca="1"/>
        <v>0.10438117377441219</v>
      </c>
      <c r="S698" s="13">
        <f ca="1"/>
        <v>0.16544076024537469</v>
      </c>
      <c r="T698" s="13">
        <f ca="1"/>
        <v>-0.60986423022305125</v>
      </c>
      <c r="U698" s="13">
        <f ca="1"/>
        <v>-0.5615968288109453</v>
      </c>
      <c r="V698" s="13">
        <f ca="1"/>
        <v>0.3362013916417676</v>
      </c>
      <c r="W698" s="13">
        <f ca="1"/>
        <v>-0.16790676491995893</v>
      </c>
      <c r="X698" s="13">
        <f ca="1"/>
        <v>1.4837005321258749</v>
      </c>
      <c r="Y698" s="13">
        <f ca="1"/>
        <v>-3.9902889665444918E-3</v>
      </c>
      <c r="Z698" s="13">
        <f ca="1"/>
        <v>0.47638854992871144</v>
      </c>
      <c r="AA698" s="13">
        <f ca="1"/>
        <v>-1.4503658089702209</v>
      </c>
      <c r="AB698" s="13">
        <f ca="1"/>
        <v>0.47326857729270622</v>
      </c>
      <c r="AC698" s="13">
        <f ca="1"/>
        <v>-0.74089589651829646</v>
      </c>
      <c r="AD698" s="13">
        <f ca="1"/>
        <v>1.6014548355007037</v>
      </c>
      <c r="AE698" s="13">
        <f ca="1"/>
        <v>1.1592852030737939</v>
      </c>
      <c r="AF698" s="13">
        <f ca="1"/>
        <v>0.81879390017155762</v>
      </c>
      <c r="AG698" s="13">
        <f ca="1"/>
        <v>1.032670551151307</v>
      </c>
      <c r="AH698" s="13">
        <f ca="1"/>
        <v>-1.3458674922647695</v>
      </c>
      <c r="AI698" s="13">
        <f ca="1"/>
        <v>-0.68838175204013741</v>
      </c>
      <c r="AJ698" s="13">
        <f ca="1"/>
        <v>0.9397708592878935</v>
      </c>
      <c r="AK698" s="13">
        <f ca="1"/>
        <v>0.90995154295252556</v>
      </c>
      <c r="AL698" s="14">
        <f ca="1"/>
        <v>0.10952644918135801</v>
      </c>
    </row>
    <row r="699" spans="14:38" ht="24" customHeight="1" x14ac:dyDescent="0.3">
      <c r="O699" s="15">
        <f ca="1"/>
        <v>3.132962871780685</v>
      </c>
      <c r="P699" s="16">
        <f ca="1"/>
        <v>1.519349774204888</v>
      </c>
      <c r="Q699" s="16">
        <f ca="1"/>
        <v>4.2944779439748686</v>
      </c>
      <c r="R699" s="16">
        <f ca="1"/>
        <v>4.4449468470045446</v>
      </c>
      <c r="S699" s="16">
        <f ca="1"/>
        <v>4.079323408997225</v>
      </c>
      <c r="T699" s="16">
        <f ca="1"/>
        <v>4.3181673204115238</v>
      </c>
      <c r="U699" s="16">
        <f ca="1"/>
        <v>1.5384628653595718</v>
      </c>
      <c r="V699" s="16">
        <f ca="1"/>
        <v>4.1100669326965598</v>
      </c>
      <c r="W699" s="16">
        <f ca="1"/>
        <v>3.1309776758007537</v>
      </c>
      <c r="X699" s="16">
        <f ca="1"/>
        <v>3.9564161098625505</v>
      </c>
      <c r="Y699" s="16">
        <f ca="1"/>
        <v>3.4801640705740136</v>
      </c>
      <c r="Z699" s="16">
        <f ca="1"/>
        <v>2.5126050255728027</v>
      </c>
      <c r="AA699" s="16">
        <f ca="1"/>
        <v>1.6552168369003677</v>
      </c>
      <c r="AB699" s="16">
        <f ca="1"/>
        <v>3.3321562247421967</v>
      </c>
      <c r="AC699" s="16">
        <f ca="1"/>
        <v>2.7294473698662669</v>
      </c>
      <c r="AD699" s="16">
        <f ca="1"/>
        <v>4.7573589574243762</v>
      </c>
      <c r="AE699" s="16">
        <f ca="1"/>
        <v>2.7182690437557708</v>
      </c>
      <c r="AF699" s="16">
        <f ca="1"/>
        <v>1.4708509219357462</v>
      </c>
      <c r="AG699" s="16">
        <f ca="1"/>
        <v>3.0222944603565711</v>
      </c>
      <c r="AH699" s="16">
        <f ca="1"/>
        <v>2.0415160908013261</v>
      </c>
      <c r="AI699" s="16">
        <f ca="1"/>
        <v>3.8089857291215821</v>
      </c>
      <c r="AJ699" s="16">
        <f ca="1"/>
        <v>2.5075136572229657</v>
      </c>
      <c r="AK699" s="16">
        <f ca="1"/>
        <v>3.730308364154828</v>
      </c>
      <c r="AL699" s="17">
        <f ca="1"/>
        <v>2.5094951731803103</v>
      </c>
    </row>
    <row r="714" spans="4:38" ht="24" customHeight="1" x14ac:dyDescent="0.3">
      <c r="N714" s="7" t="s">
        <v>183</v>
      </c>
      <c r="O714" s="8">
        <f ca="1">MATCH(LARGE(O692:O699,1),O692:O699,0)</f>
        <v>2</v>
      </c>
      <c r="P714" s="8">
        <f ca="1">MATCH(LARGE(P692:P699,1),P692:P699,0)</f>
        <v>1</v>
      </c>
      <c r="Q714" s="8">
        <f ca="1">MATCH(LARGE(Q692:Q699,1),Q692:Q699,0)</f>
        <v>8</v>
      </c>
      <c r="R714" s="8">
        <f ca="1">MATCH(LARGE(R692:R699,1),R692:R699,0)</f>
        <v>8</v>
      </c>
      <c r="S714" s="8">
        <f ca="1">MATCH(LARGE(S692:S699,1),S692:S699,0)</f>
        <v>5</v>
      </c>
      <c r="T714" s="8">
        <f ca="1">MATCH(LARGE(T692:T699,1),T692:T699,0)</f>
        <v>8</v>
      </c>
      <c r="U714" s="8">
        <f ca="1">MATCH(LARGE(U692:U699,1),U692:U699,0)</f>
        <v>5</v>
      </c>
      <c r="V714" s="8">
        <f ca="1">MATCH(LARGE(V692:V699,1),V692:V699,0)</f>
        <v>8</v>
      </c>
      <c r="W714" s="8">
        <f ca="1">MATCH(LARGE(W692:W699,1),W692:W699,0)</f>
        <v>5</v>
      </c>
      <c r="X714" s="8">
        <f ca="1">MATCH(LARGE(X692:X699,1),X692:X699,0)</f>
        <v>2</v>
      </c>
      <c r="Y714" s="8">
        <f ca="1">MATCH(LARGE(Y692:Y699,1),Y692:Y699,0)</f>
        <v>2</v>
      </c>
      <c r="Z714" s="8">
        <f ca="1">MATCH(LARGE(Z692:Z699,1),Z692:Z699,0)</f>
        <v>5</v>
      </c>
      <c r="AA714" s="8">
        <f ca="1">MATCH(LARGE(AA692:AA699,1),AA692:AA699,0)</f>
        <v>5</v>
      </c>
      <c r="AB714" s="8">
        <f ca="1">MATCH(LARGE(AB692:AB699,1),AB692:AB699,0)</f>
        <v>5</v>
      </c>
      <c r="AC714" s="8">
        <f ca="1">MATCH(LARGE(AC692:AC699,1),AC692:AC699,0)</f>
        <v>5</v>
      </c>
      <c r="AD714" s="8">
        <f ca="1">MATCH(LARGE(AD692:AD699,1),AD692:AD699,0)</f>
        <v>8</v>
      </c>
      <c r="AE714" s="8">
        <f ca="1">MATCH(LARGE(AE692:AE699,1),AE692:AE699,0)</f>
        <v>8</v>
      </c>
      <c r="AF714" s="8">
        <f ca="1">MATCH(LARGE(AF692:AF699,1),AF692:AF699,0)</f>
        <v>2</v>
      </c>
      <c r="AG714" s="8">
        <f ca="1">MATCH(LARGE(AG692:AG699,1),AG692:AG699,0)</f>
        <v>2</v>
      </c>
      <c r="AH714" s="8">
        <f ca="1">MATCH(LARGE(AH692:AH699,1),AH692:AH699,0)</f>
        <v>2</v>
      </c>
      <c r="AI714" s="8">
        <f ca="1">MATCH(LARGE(AI692:AI699,1),AI692:AI699,0)</f>
        <v>8</v>
      </c>
      <c r="AJ714" s="8">
        <f ca="1">MATCH(LARGE(AJ692:AJ699,1),AJ692:AJ699,0)</f>
        <v>5</v>
      </c>
      <c r="AK714" s="8">
        <f ca="1">MATCH(LARGE(AK692:AK699,1),AK692:AK699,0)</f>
        <v>2</v>
      </c>
      <c r="AL714" s="8">
        <f ca="1">MATCH(LARGE(AL692:AL699,1),AL692:AL699,0)</f>
        <v>2</v>
      </c>
    </row>
    <row r="716" spans="4:38" ht="24" customHeight="1" x14ac:dyDescent="0.3">
      <c r="N716" s="7" t="s">
        <v>184</v>
      </c>
      <c r="O716" s="19">
        <f ca="1">COUNTIF(O714:AL714,1)</f>
        <v>1</v>
      </c>
      <c r="P716" s="20">
        <f ca="1">COUNTIF(O714:AL714,2)</f>
        <v>8</v>
      </c>
      <c r="Q716" s="20">
        <f ca="1">COUNTIF(O714:AL714,3)</f>
        <v>0</v>
      </c>
      <c r="R716" s="20">
        <f ca="1">COUNTIF(O714:AL714,4)</f>
        <v>0</v>
      </c>
      <c r="S716" s="20">
        <f ca="1">COUNTIF(O714:AL714,5)</f>
        <v>8</v>
      </c>
      <c r="T716" s="20">
        <f ca="1">COUNTIF(O714:AL714,6)</f>
        <v>0</v>
      </c>
      <c r="U716" s="20">
        <f ca="1">COUNTIF(O714:AL714,7)</f>
        <v>0</v>
      </c>
      <c r="V716" s="21">
        <f ca="1">COUNTIF(O714:AL714,8)</f>
        <v>7</v>
      </c>
    </row>
    <row r="718" spans="4:38" ht="24" customHeight="1" x14ac:dyDescent="0.3">
      <c r="N718" s="7" t="s">
        <v>185</v>
      </c>
      <c r="O718" s="8" cm="1">
        <f t="array" aca="1" ref="O718" ca="1">_xlfn.LET(_xlpm.p,O716:V716,_xlpm.n,F637,_xlpm.t,SUM(_xlpm.p),-SUM(IF(_xlpm.p&gt;0,_xlpm.p/_xlpm.t*LN(_xlpm.p/_xlpm.t),0))/LN(_xlpm.n))</f>
        <v>0.5887168828181184</v>
      </c>
    </row>
    <row r="720" spans="4:38" ht="24" customHeight="1" x14ac:dyDescent="0.3">
      <c r="D720" s="1" t="s">
        <v>186</v>
      </c>
    </row>
    <row r="721" spans="1:131" ht="24" customHeight="1" x14ac:dyDescent="0.3">
      <c r="D721" s="1" t="s">
        <v>187</v>
      </c>
    </row>
    <row r="730" spans="1:131" ht="48" customHeight="1" thickBot="1" x14ac:dyDescent="0.95">
      <c r="A730" s="5" t="s">
        <v>188</v>
      </c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  <c r="CD730" s="6"/>
      <c r="CE730" s="6"/>
      <c r="CF730" s="6"/>
      <c r="CG730" s="6"/>
      <c r="CH730" s="6"/>
      <c r="CI730" s="6"/>
      <c r="CJ730" s="6"/>
      <c r="CK730" s="6"/>
      <c r="CL730" s="6"/>
      <c r="CM730" s="6"/>
      <c r="CN730" s="6"/>
      <c r="CO730" s="6"/>
      <c r="CP730" s="6"/>
      <c r="CQ730" s="6"/>
      <c r="CR730" s="6"/>
      <c r="CS730" s="6"/>
      <c r="CT730" s="6"/>
      <c r="CU730" s="6"/>
      <c r="CV730" s="6"/>
      <c r="CW730" s="6"/>
      <c r="CX730" s="6"/>
      <c r="CY730" s="6"/>
      <c r="CZ730" s="6"/>
      <c r="DA730" s="6"/>
      <c r="DB730" s="6"/>
      <c r="DC730" s="6"/>
      <c r="DD730" s="6"/>
      <c r="DE730" s="6"/>
      <c r="DF730" s="6"/>
      <c r="DG730" s="6"/>
      <c r="DH730" s="6"/>
      <c r="DI730" s="6"/>
      <c r="DJ730" s="6"/>
      <c r="DK730" s="6"/>
      <c r="DL730" s="6"/>
      <c r="DM730" s="6"/>
      <c r="DN730" s="6"/>
      <c r="DO730" s="6"/>
      <c r="DP730" s="6"/>
      <c r="DQ730" s="6"/>
      <c r="DR730" s="6"/>
      <c r="DS730" s="6"/>
      <c r="DT730" s="6"/>
      <c r="DU730" s="6"/>
      <c r="DV730" s="6"/>
      <c r="DW730" s="6"/>
      <c r="DX730" s="6"/>
      <c r="DY730" s="6"/>
      <c r="DZ730" s="6"/>
      <c r="EA730" s="6"/>
    </row>
    <row r="731" spans="1:131" ht="24" customHeight="1" thickTop="1" x14ac:dyDescent="0.3"/>
    <row r="733" spans="1:131" ht="24" customHeight="1" x14ac:dyDescent="0.3">
      <c r="E733" s="7" t="s">
        <v>178</v>
      </c>
      <c r="F733" s="8">
        <v>24</v>
      </c>
      <c r="N733" s="7" t="s">
        <v>8</v>
      </c>
      <c r="O733" s="8" cm="1">
        <f t="array" ref="O733:AL733">_xlfn.SEQUENCE(1,F733,1)</f>
        <v>1</v>
      </c>
      <c r="P733" s="8">
        <v>2</v>
      </c>
      <c r="Q733" s="8">
        <v>3</v>
      </c>
      <c r="R733" s="8">
        <v>4</v>
      </c>
      <c r="S733" s="8">
        <v>5</v>
      </c>
      <c r="T733" s="8">
        <v>6</v>
      </c>
      <c r="U733" s="1">
        <v>7</v>
      </c>
      <c r="V733" s="1">
        <v>8</v>
      </c>
      <c r="W733" s="1">
        <v>9</v>
      </c>
      <c r="X733" s="1">
        <v>10</v>
      </c>
      <c r="Y733" s="1">
        <v>11</v>
      </c>
      <c r="Z733" s="1">
        <v>12</v>
      </c>
      <c r="AA733" s="1">
        <v>13</v>
      </c>
      <c r="AB733" s="1">
        <v>14</v>
      </c>
      <c r="AC733" s="1">
        <v>15</v>
      </c>
      <c r="AD733" s="1">
        <v>16</v>
      </c>
      <c r="AE733" s="1">
        <v>17</v>
      </c>
      <c r="AF733" s="1">
        <v>18</v>
      </c>
      <c r="AG733" s="1">
        <v>19</v>
      </c>
      <c r="AH733" s="1">
        <v>20</v>
      </c>
      <c r="AI733" s="1">
        <v>21</v>
      </c>
      <c r="AJ733" s="1">
        <v>22</v>
      </c>
      <c r="AK733" s="1">
        <v>23</v>
      </c>
      <c r="AL733" s="1">
        <v>24</v>
      </c>
    </row>
    <row r="734" spans="1:131" ht="24" customHeight="1" x14ac:dyDescent="0.3">
      <c r="E734" s="7" t="s">
        <v>5</v>
      </c>
      <c r="F734" s="8">
        <v>8</v>
      </c>
      <c r="N734" s="7" t="s">
        <v>180</v>
      </c>
      <c r="O734" s="9" cm="1">
        <f t="array" aca="1" ref="O734:AL741" ca="1">(_xlfn.RANDARRAY(F734,F733)-0.5)*2</f>
        <v>0.27956383804568308</v>
      </c>
      <c r="P734" s="10">
        <f ca="1"/>
        <v>-0.83994592887042607</v>
      </c>
      <c r="Q734" s="10">
        <f ca="1"/>
        <v>-0.74316974096723776</v>
      </c>
      <c r="R734" s="10">
        <f ca="1"/>
        <v>0.27413486789967889</v>
      </c>
      <c r="S734" s="10">
        <f ca="1"/>
        <v>2.037323820166792E-2</v>
      </c>
      <c r="T734" s="10">
        <f ca="1"/>
        <v>-0.15173005090154001</v>
      </c>
      <c r="U734" s="10">
        <f ca="1"/>
        <v>-0.57645060697652495</v>
      </c>
      <c r="V734" s="10">
        <f ca="1"/>
        <v>0.50699953913913465</v>
      </c>
      <c r="W734" s="10">
        <f ca="1"/>
        <v>0.53312173304433097</v>
      </c>
      <c r="X734" s="10">
        <f ca="1"/>
        <v>6.7327986973436449E-2</v>
      </c>
      <c r="Y734" s="10">
        <f ca="1"/>
        <v>0.50024464141439529</v>
      </c>
      <c r="Z734" s="10">
        <f ca="1"/>
        <v>-0.30707312389320673</v>
      </c>
      <c r="AA734" s="10">
        <f ca="1"/>
        <v>0.76889239366905393</v>
      </c>
      <c r="AB734" s="10">
        <f ca="1"/>
        <v>-0.93282088692909726</v>
      </c>
      <c r="AC734" s="10">
        <f ca="1"/>
        <v>-0.63177339018930834</v>
      </c>
      <c r="AD734" s="10">
        <f ca="1"/>
        <v>0.75001602605097917</v>
      </c>
      <c r="AE734" s="10">
        <f ca="1"/>
        <v>0.2804917608761146</v>
      </c>
      <c r="AF734" s="10">
        <f ca="1"/>
        <v>0.54572195730233686</v>
      </c>
      <c r="AG734" s="10">
        <f ca="1"/>
        <v>-0.77285163589091033</v>
      </c>
      <c r="AH734" s="10">
        <f ca="1"/>
        <v>-0.72441500005453818</v>
      </c>
      <c r="AI734" s="10">
        <f ca="1"/>
        <v>-0.79762267988729718</v>
      </c>
      <c r="AJ734" s="10">
        <f ca="1"/>
        <v>-1.5753722777127166E-2</v>
      </c>
      <c r="AK734" s="10">
        <f ca="1"/>
        <v>-0.90585600913236775</v>
      </c>
      <c r="AL734" s="11">
        <f ca="1"/>
        <v>-0.92127017758274521</v>
      </c>
    </row>
    <row r="735" spans="1:131" ht="24" customHeight="1" x14ac:dyDescent="0.3">
      <c r="E735" s="7" t="s">
        <v>134</v>
      </c>
      <c r="F735" s="8">
        <v>8</v>
      </c>
      <c r="O735" s="12">
        <f ca="1"/>
        <v>0.80577160248141766</v>
      </c>
      <c r="P735" s="13">
        <f ca="1"/>
        <v>-0.52163993309729673</v>
      </c>
      <c r="Q735" s="13">
        <f ca="1"/>
        <v>0.70454944496828986</v>
      </c>
      <c r="R735" s="13">
        <f ca="1"/>
        <v>-0.38237740853292701</v>
      </c>
      <c r="S735" s="13">
        <f ca="1"/>
        <v>-0.14401489755727415</v>
      </c>
      <c r="T735" s="13">
        <f ca="1"/>
        <v>0.50679383475825457</v>
      </c>
      <c r="U735" s="13">
        <f ca="1"/>
        <v>0.93129550983117237</v>
      </c>
      <c r="V735" s="13">
        <f ca="1"/>
        <v>0.13053325211452949</v>
      </c>
      <c r="W735" s="13">
        <f ca="1"/>
        <v>0.83969700901723154</v>
      </c>
      <c r="X735" s="13">
        <f ca="1"/>
        <v>0.20787379059858324</v>
      </c>
      <c r="Y735" s="13">
        <f ca="1"/>
        <v>0.52930800176034287</v>
      </c>
      <c r="Z735" s="13">
        <f ca="1"/>
        <v>-0.88894292371182004</v>
      </c>
      <c r="AA735" s="13">
        <f ca="1"/>
        <v>0.81816891369528344</v>
      </c>
      <c r="AB735" s="13">
        <f ca="1"/>
        <v>-0.96328475749865428</v>
      </c>
      <c r="AC735" s="13">
        <f ca="1"/>
        <v>0.23201077066070841</v>
      </c>
      <c r="AD735" s="13">
        <f ca="1"/>
        <v>-0.57130786652671661</v>
      </c>
      <c r="AE735" s="13">
        <f ca="1"/>
        <v>0.47675086839423786</v>
      </c>
      <c r="AF735" s="13">
        <f ca="1"/>
        <v>0.74171299316017381</v>
      </c>
      <c r="AG735" s="13">
        <f ca="1"/>
        <v>0.77366044077809804</v>
      </c>
      <c r="AH735" s="13">
        <f ca="1"/>
        <v>-0.12371535925785748</v>
      </c>
      <c r="AI735" s="13">
        <f ca="1"/>
        <v>0.62170500406927331</v>
      </c>
      <c r="AJ735" s="13">
        <f ca="1"/>
        <v>0.10128641838639352</v>
      </c>
      <c r="AK735" s="13">
        <f ca="1"/>
        <v>0.44226105440587826</v>
      </c>
      <c r="AL735" s="14">
        <f ca="1"/>
        <v>-0.32563015487432834</v>
      </c>
    </row>
    <row r="736" spans="1:131" ht="24" customHeight="1" x14ac:dyDescent="0.3">
      <c r="E736" s="7" t="s">
        <v>135</v>
      </c>
      <c r="F736" s="8">
        <v>2</v>
      </c>
      <c r="O736" s="12">
        <f ca="1"/>
        <v>-0.1444383477840252</v>
      </c>
      <c r="P736" s="13">
        <f ca="1"/>
        <v>-0.22033848187138938</v>
      </c>
      <c r="Q736" s="13">
        <f ca="1"/>
        <v>0.41406785141944846</v>
      </c>
      <c r="R736" s="13">
        <f ca="1"/>
        <v>0.52554952622560824</v>
      </c>
      <c r="S736" s="13">
        <f ca="1"/>
        <v>-0.85494795425108538</v>
      </c>
      <c r="T736" s="13">
        <f ca="1"/>
        <v>0.59061639373645436</v>
      </c>
      <c r="U736" s="13">
        <f ca="1"/>
        <v>0.88283897986816839</v>
      </c>
      <c r="V736" s="13">
        <f ca="1"/>
        <v>-0.94349688471428195</v>
      </c>
      <c r="W736" s="13">
        <f ca="1"/>
        <v>0.87036426961096325</v>
      </c>
      <c r="X736" s="13">
        <f ca="1"/>
        <v>-0.23819229288504618</v>
      </c>
      <c r="Y736" s="13">
        <f ca="1"/>
        <v>-0.81724094826163984</v>
      </c>
      <c r="Z736" s="13">
        <f ca="1"/>
        <v>-1.3737800578276005E-2</v>
      </c>
      <c r="AA736" s="13">
        <f ca="1"/>
        <v>0.82029426638470682</v>
      </c>
      <c r="AB736" s="13">
        <f ca="1"/>
        <v>0.96471418397501507</v>
      </c>
      <c r="AC736" s="13">
        <f ca="1"/>
        <v>-0.84046208948375023</v>
      </c>
      <c r="AD736" s="13">
        <f ca="1"/>
        <v>0.39330530895324278</v>
      </c>
      <c r="AE736" s="13">
        <f ca="1"/>
        <v>-0.81162020702661763</v>
      </c>
      <c r="AF736" s="13">
        <f ca="1"/>
        <v>-7.8331612950526708E-2</v>
      </c>
      <c r="AG736" s="13">
        <f ca="1"/>
        <v>0.99304861350136298</v>
      </c>
      <c r="AH736" s="13">
        <f ca="1"/>
        <v>0.36993808748910073</v>
      </c>
      <c r="AI736" s="13">
        <f ca="1"/>
        <v>-0.92612752640133866</v>
      </c>
      <c r="AJ736" s="13">
        <f ca="1"/>
        <v>-0.2452586381413413</v>
      </c>
      <c r="AK736" s="13">
        <f ca="1"/>
        <v>0.79577936902251389</v>
      </c>
      <c r="AL736" s="14">
        <f ca="1"/>
        <v>-0.98525321917660902</v>
      </c>
    </row>
    <row r="737" spans="4:64" ht="24" customHeight="1" x14ac:dyDescent="0.3">
      <c r="E737" s="7" t="s">
        <v>189</v>
      </c>
      <c r="F737" s="8">
        <v>0.75</v>
      </c>
      <c r="O737" s="12">
        <f ca="1"/>
        <v>-0.4155707670312383</v>
      </c>
      <c r="P737" s="13">
        <f ca="1"/>
        <v>0.61007983476585581</v>
      </c>
      <c r="Q737" s="13">
        <f ca="1"/>
        <v>0.75291976978684438</v>
      </c>
      <c r="R737" s="13">
        <f ca="1"/>
        <v>-0.29980548295472875</v>
      </c>
      <c r="S737" s="13">
        <f ca="1"/>
        <v>-0.60397427067243425</v>
      </c>
      <c r="T737" s="13">
        <f ca="1"/>
        <v>-7.7893159759065078E-2</v>
      </c>
      <c r="U737" s="13">
        <f ca="1"/>
        <v>0.64496010804225046</v>
      </c>
      <c r="V737" s="13">
        <f ca="1"/>
        <v>-0.54874907194752698</v>
      </c>
      <c r="W737" s="13">
        <f ca="1"/>
        <v>-0.45206672364101363</v>
      </c>
      <c r="X737" s="13">
        <f ca="1"/>
        <v>0.10147664919924582</v>
      </c>
      <c r="Y737" s="13">
        <f ca="1"/>
        <v>-0.23099593775254634</v>
      </c>
      <c r="Z737" s="13">
        <f ca="1"/>
        <v>0.31283512104821964</v>
      </c>
      <c r="AA737" s="13">
        <f ca="1"/>
        <v>0.33304961747711026</v>
      </c>
      <c r="AB737" s="13">
        <f ca="1"/>
        <v>0.97982454630206828</v>
      </c>
      <c r="AC737" s="13">
        <f ca="1"/>
        <v>0.90757041355787038</v>
      </c>
      <c r="AD737" s="13">
        <f ca="1"/>
        <v>0.5610086647704482</v>
      </c>
      <c r="AE737" s="13">
        <f ca="1"/>
        <v>0.6284219020985784</v>
      </c>
      <c r="AF737" s="13">
        <f ca="1"/>
        <v>0.9000433092509823</v>
      </c>
      <c r="AG737" s="13">
        <f ca="1"/>
        <v>-4.421773330883072E-2</v>
      </c>
      <c r="AH737" s="13">
        <f ca="1"/>
        <v>-0.71976186438158596</v>
      </c>
      <c r="AI737" s="13">
        <f ca="1"/>
        <v>-0.46337358955957431</v>
      </c>
      <c r="AJ737" s="13">
        <f ca="1"/>
        <v>-0.24630882584325509</v>
      </c>
      <c r="AK737" s="13">
        <f ca="1"/>
        <v>0.80874716291735682</v>
      </c>
      <c r="AL737" s="14">
        <f ca="1"/>
        <v>-0.68203293296103729</v>
      </c>
    </row>
    <row r="738" spans="4:64" ht="24" customHeight="1" x14ac:dyDescent="0.3">
      <c r="E738" s="7" t="s">
        <v>179</v>
      </c>
      <c r="F738" s="8">
        <f>F639</f>
        <v>3</v>
      </c>
      <c r="O738" s="12">
        <f ca="1"/>
        <v>-0.24211744882720021</v>
      </c>
      <c r="P738" s="13">
        <f ca="1"/>
        <v>0.50138466550569438</v>
      </c>
      <c r="Q738" s="13">
        <f ca="1"/>
        <v>-0.50125268098421127</v>
      </c>
      <c r="R738" s="13">
        <f ca="1"/>
        <v>-0.1696412117090218</v>
      </c>
      <c r="S738" s="13">
        <f ca="1"/>
        <v>-0.87894045960419609</v>
      </c>
      <c r="T738" s="13">
        <f ca="1"/>
        <v>-0.34201883187408821</v>
      </c>
      <c r="U738" s="13">
        <f ca="1"/>
        <v>0.44885323417646905</v>
      </c>
      <c r="V738" s="13">
        <f ca="1"/>
        <v>0.58315471492333515</v>
      </c>
      <c r="W738" s="13">
        <f ca="1"/>
        <v>0.50040479561908846</v>
      </c>
      <c r="X738" s="13">
        <f ca="1"/>
        <v>0.47455684709460133</v>
      </c>
      <c r="Y738" s="13">
        <f ca="1"/>
        <v>-0.66390663510771164</v>
      </c>
      <c r="Z738" s="13">
        <f ca="1"/>
        <v>0.20944486545327079</v>
      </c>
      <c r="AA738" s="13">
        <f ca="1"/>
        <v>5.3689466267895281E-2</v>
      </c>
      <c r="AB738" s="13">
        <f ca="1"/>
        <v>0.43091920797127381</v>
      </c>
      <c r="AC738" s="13">
        <f ca="1"/>
        <v>-0.30131855759658199</v>
      </c>
      <c r="AD738" s="13">
        <f ca="1"/>
        <v>0.63436521869994156</v>
      </c>
      <c r="AE738" s="13">
        <f ca="1"/>
        <v>-0.88511918749752994</v>
      </c>
      <c r="AF738" s="13">
        <f ca="1"/>
        <v>0.23812804877069205</v>
      </c>
      <c r="AG738" s="13">
        <f ca="1"/>
        <v>0.62352457691346164</v>
      </c>
      <c r="AH738" s="13">
        <f ca="1"/>
        <v>0.91086038896738142</v>
      </c>
      <c r="AI738" s="13">
        <f ca="1"/>
        <v>-8.8779599418358668E-2</v>
      </c>
      <c r="AJ738" s="13">
        <f ca="1"/>
        <v>0.16210068767172858</v>
      </c>
      <c r="AK738" s="13">
        <f ca="1"/>
        <v>-0.95793245005296646</v>
      </c>
      <c r="AL738" s="14">
        <f ca="1"/>
        <v>-0.38087077130253144</v>
      </c>
    </row>
    <row r="739" spans="4:64" ht="24" customHeight="1" x14ac:dyDescent="0.3">
      <c r="O739" s="12">
        <f ca="1"/>
        <v>-0.98282494151365185</v>
      </c>
      <c r="P739" s="13">
        <f ca="1"/>
        <v>8.8071349481996908E-2</v>
      </c>
      <c r="Q739" s="13">
        <f ca="1"/>
        <v>0.43809632412236121</v>
      </c>
      <c r="R739" s="13">
        <f ca="1"/>
        <v>-0.99931424563054261</v>
      </c>
      <c r="S739" s="13">
        <f ca="1"/>
        <v>-3.2225726664117715E-2</v>
      </c>
      <c r="T739" s="13">
        <f ca="1"/>
        <v>-0.47461210723043035</v>
      </c>
      <c r="U739" s="13">
        <f ca="1"/>
        <v>-0.37548360645226886</v>
      </c>
      <c r="V739" s="13">
        <f ca="1"/>
        <v>-9.9311262498710029E-2</v>
      </c>
      <c r="W739" s="13">
        <f ca="1"/>
        <v>-0.81457040055778052</v>
      </c>
      <c r="X739" s="13">
        <f ca="1"/>
        <v>0.65695427724353017</v>
      </c>
      <c r="Y739" s="13">
        <f ca="1"/>
        <v>-0.95670391065906113</v>
      </c>
      <c r="Z739" s="13">
        <f ca="1"/>
        <v>-0.69419683742863336</v>
      </c>
      <c r="AA739" s="13">
        <f ca="1"/>
        <v>0.16899566792535303</v>
      </c>
      <c r="AB739" s="13">
        <f ca="1"/>
        <v>0.88533455785510107</v>
      </c>
      <c r="AC739" s="13">
        <f ca="1"/>
        <v>-0.3169535645559125</v>
      </c>
      <c r="AD739" s="13">
        <f ca="1"/>
        <v>-0.10717824165553091</v>
      </c>
      <c r="AE739" s="13">
        <f ca="1"/>
        <v>-0.32720191907131913</v>
      </c>
      <c r="AF739" s="13">
        <f ca="1"/>
        <v>0.19407979070109915</v>
      </c>
      <c r="AG739" s="13">
        <f ca="1"/>
        <v>-0.97618385653331696</v>
      </c>
      <c r="AH739" s="13">
        <f ca="1"/>
        <v>-0.13442591291241701</v>
      </c>
      <c r="AI739" s="13">
        <f ca="1"/>
        <v>0.29971744947272771</v>
      </c>
      <c r="AJ739" s="13">
        <f ca="1"/>
        <v>-0.30536633394482138</v>
      </c>
      <c r="AK739" s="13">
        <f ca="1"/>
        <v>-0.17661062788497839</v>
      </c>
      <c r="AL739" s="14">
        <f ca="1"/>
        <v>0.80472606406012126</v>
      </c>
    </row>
    <row r="740" spans="4:64" ht="24" customHeight="1" x14ac:dyDescent="0.3">
      <c r="O740" s="12">
        <f ca="1"/>
        <v>0.27976975099067136</v>
      </c>
      <c r="P740" s="13">
        <f ca="1"/>
        <v>0.42181265715480087</v>
      </c>
      <c r="Q740" s="13">
        <f ca="1"/>
        <v>0.23817171152002237</v>
      </c>
      <c r="R740" s="13">
        <f ca="1"/>
        <v>0.40404038734307246</v>
      </c>
      <c r="S740" s="13">
        <f ca="1"/>
        <v>0.60122858814898894</v>
      </c>
      <c r="T740" s="13">
        <f ca="1"/>
        <v>-0.39406542514352871</v>
      </c>
      <c r="U740" s="13">
        <f ca="1"/>
        <v>-0.15874099457727908</v>
      </c>
      <c r="V740" s="13">
        <f ca="1"/>
        <v>-0.54256911799438567</v>
      </c>
      <c r="W740" s="13">
        <f ca="1"/>
        <v>-0.85273855812100496</v>
      </c>
      <c r="X740" s="13">
        <f ca="1"/>
        <v>-0.59748219794389357</v>
      </c>
      <c r="Y740" s="13">
        <f ca="1"/>
        <v>0.94551730314133575</v>
      </c>
      <c r="Z740" s="13">
        <f ca="1"/>
        <v>0.9483158936575431</v>
      </c>
      <c r="AA740" s="13">
        <f ca="1"/>
        <v>0.88567784100497704</v>
      </c>
      <c r="AB740" s="13">
        <f ca="1"/>
        <v>8.3842538076820627E-2</v>
      </c>
      <c r="AC740" s="13">
        <f ca="1"/>
        <v>0.14970640524260981</v>
      </c>
      <c r="AD740" s="13">
        <f ca="1"/>
        <v>-0.46715103644362177</v>
      </c>
      <c r="AE740" s="13">
        <f ca="1"/>
        <v>-0.52978408664099996</v>
      </c>
      <c r="AF740" s="13">
        <f ca="1"/>
        <v>0.23591495021118813</v>
      </c>
      <c r="AG740" s="13">
        <f ca="1"/>
        <v>-0.21466737247145318</v>
      </c>
      <c r="AH740" s="13">
        <f ca="1"/>
        <v>0.83538958369367222</v>
      </c>
      <c r="AI740" s="13">
        <f ca="1"/>
        <v>0.50619966773255465</v>
      </c>
      <c r="AJ740" s="13">
        <f ca="1"/>
        <v>0.67689192224059935</v>
      </c>
      <c r="AK740" s="13">
        <f ca="1"/>
        <v>-0.66312067943735897</v>
      </c>
      <c r="AL740" s="14">
        <f ca="1"/>
        <v>-0.62969637896619624</v>
      </c>
    </row>
    <row r="741" spans="4:64" ht="24" customHeight="1" x14ac:dyDescent="0.3">
      <c r="O741" s="15">
        <f ca="1"/>
        <v>-0.51195801747533665</v>
      </c>
      <c r="P741" s="16">
        <f ca="1"/>
        <v>-0.3022492837813866</v>
      </c>
      <c r="Q741" s="16">
        <f ca="1"/>
        <v>-0.53240207701301712</v>
      </c>
      <c r="R741" s="16">
        <f ca="1"/>
        <v>-0.65354816290240381</v>
      </c>
      <c r="S741" s="16">
        <f ca="1"/>
        <v>0.44014283730740766</v>
      </c>
      <c r="T741" s="16">
        <f ca="1"/>
        <v>0.21102015621584824</v>
      </c>
      <c r="U741" s="16">
        <f ca="1"/>
        <v>-0.61874480231106421</v>
      </c>
      <c r="V741" s="16">
        <f ca="1"/>
        <v>0.48493430374220825</v>
      </c>
      <c r="W741" s="16">
        <f ca="1"/>
        <v>-0.24255121858552231</v>
      </c>
      <c r="X741" s="16">
        <f ca="1"/>
        <v>0.97269548056557342</v>
      </c>
      <c r="Y741" s="16">
        <f ca="1"/>
        <v>0.93802463549690618</v>
      </c>
      <c r="Z741" s="16">
        <f ca="1"/>
        <v>-0.98883844292577949</v>
      </c>
      <c r="AA741" s="16">
        <f ca="1"/>
        <v>0.16895643194729182</v>
      </c>
      <c r="AB741" s="16">
        <f ca="1"/>
        <v>-0.11181239334107218</v>
      </c>
      <c r="AC741" s="16">
        <f ca="1"/>
        <v>0.48325334256699426</v>
      </c>
      <c r="AD741" s="16">
        <f ca="1"/>
        <v>0.47720158028030557</v>
      </c>
      <c r="AE741" s="16">
        <f ca="1"/>
        <v>-0.61952554687788064</v>
      </c>
      <c r="AF741" s="16">
        <f ca="1"/>
        <v>3.6223457825725891E-2</v>
      </c>
      <c r="AG741" s="16">
        <f ca="1"/>
        <v>0.70958750984603824</v>
      </c>
      <c r="AH741" s="16">
        <f ca="1"/>
        <v>-0.13411861411412795</v>
      </c>
      <c r="AI741" s="16">
        <f ca="1"/>
        <v>-0.31291561454467809</v>
      </c>
      <c r="AJ741" s="16">
        <f ca="1"/>
        <v>0.79252009925352018</v>
      </c>
      <c r="AK741" s="16">
        <f ca="1"/>
        <v>-0.88726210395637262</v>
      </c>
      <c r="AL741" s="17">
        <f ca="1"/>
        <v>0.69584307566564396</v>
      </c>
    </row>
    <row r="743" spans="4:64" ht="24" customHeight="1" x14ac:dyDescent="0.3">
      <c r="D743" s="3" t="s">
        <v>144</v>
      </c>
      <c r="AO743" s="1" t="s">
        <v>190</v>
      </c>
    </row>
    <row r="744" spans="4:64" ht="24" customHeight="1" x14ac:dyDescent="0.3">
      <c r="D744" s="7" t="s">
        <v>145</v>
      </c>
      <c r="E744" s="18" cm="1">
        <f t="array" aca="1" ref="E744:L751" ca="1">(_xlfn.RANDARRAY(F735,F734)-0.5)*2</f>
        <v>-0.12133070593180273</v>
      </c>
      <c r="F744" s="18">
        <f ca="1"/>
        <v>0.937854112462436</v>
      </c>
      <c r="G744" s="18">
        <f ca="1"/>
        <v>0.91969716312315208</v>
      </c>
      <c r="H744" s="18">
        <f ca="1"/>
        <v>-5.1684612218045878E-2</v>
      </c>
      <c r="I744" s="18">
        <f ca="1"/>
        <v>0.19059000066137477</v>
      </c>
      <c r="J744" s="18">
        <f ca="1"/>
        <v>-0.23465578008544252</v>
      </c>
      <c r="K744" s="18">
        <f ca="1"/>
        <v>0.13521871744395364</v>
      </c>
      <c r="L744" s="18">
        <f ca="1"/>
        <v>0.82246536658477698</v>
      </c>
      <c r="N744" s="7" t="s">
        <v>153</v>
      </c>
      <c r="O744" s="9" cm="1">
        <f t="array" aca="1" ref="O744:AL751" ca="1">MMULT(_xlfn.ANCHORARRAY(E744),_xlfn.ANCHORARRAY(O734))+_xlfn.ANCHORARRAY(AO744)</f>
        <v>0.41165836550547324</v>
      </c>
      <c r="P744" s="10">
        <f ca="1"/>
        <v>-0.73814748934012719</v>
      </c>
      <c r="Q744" s="10">
        <f ca="1"/>
        <v>0.48882398608594607</v>
      </c>
      <c r="R744" s="10">
        <f ca="1"/>
        <v>-0.17375742487348939</v>
      </c>
      <c r="S744" s="10">
        <f ca="1"/>
        <v>-0.60926960660859264</v>
      </c>
      <c r="T744" s="10">
        <f ca="1"/>
        <v>1.2073791494846162</v>
      </c>
      <c r="U744" s="10">
        <f ca="1"/>
        <v>1.3652658875234569</v>
      </c>
      <c r="V744" s="10">
        <f ca="1"/>
        <v>-0.31853940106798057</v>
      </c>
      <c r="W744" s="10">
        <f ca="1"/>
        <v>1.5183853119161286</v>
      </c>
      <c r="X744" s="10">
        <f ca="1"/>
        <v>0.61798201978208045</v>
      </c>
      <c r="Y744" s="10">
        <f ca="1"/>
        <v>0.69334995368475894</v>
      </c>
      <c r="Z744" s="10">
        <f ca="1"/>
        <v>-1.307484672108878</v>
      </c>
      <c r="AA744" s="10">
        <f ca="1"/>
        <v>1.6405394934711455</v>
      </c>
      <c r="AB744" s="10">
        <f ca="1"/>
        <v>-0.1598824278541503</v>
      </c>
      <c r="AC744" s="10">
        <f ca="1"/>
        <v>-9.0983329967905868E-2</v>
      </c>
      <c r="AD744" s="10">
        <f ca="1"/>
        <v>0.1812907256057916</v>
      </c>
      <c r="AE744" s="10">
        <f ca="1"/>
        <v>-1.0389241207714559</v>
      </c>
      <c r="AF744" s="10">
        <f ca="1"/>
        <v>0.57238153574849704</v>
      </c>
      <c r="AG744" s="10">
        <f ca="1"/>
        <v>2.6374294681910526</v>
      </c>
      <c r="AH744" s="10">
        <f ca="1"/>
        <v>0.55709553987803762</v>
      </c>
      <c r="AI744" s="10">
        <f ca="1"/>
        <v>-0.42412837841865864</v>
      </c>
      <c r="AJ744" s="10">
        <f ca="1"/>
        <v>0.72996953375153872</v>
      </c>
      <c r="AK744" s="10">
        <f ca="1"/>
        <v>0.25422242137847229</v>
      </c>
      <c r="AL744" s="11">
        <f ca="1"/>
        <v>-0.83876289116694147</v>
      </c>
      <c r="AO744" s="9" cm="1">
        <f t="array" ref="AO744:BL751">IF((_xlfn.SEQUENCE(F735,1)=2)+(_xlfn.SEQUENCE(F735,1)=5)+(_xlfn.SEQUENCE(F735,1)=8)&gt;0,IF(_xlfn.SEQUENCE(1,F733)&gt;0,F738,0),0)</f>
        <v>0</v>
      </c>
      <c r="AP744" s="10">
        <v>0</v>
      </c>
      <c r="AQ744" s="10">
        <v>0</v>
      </c>
      <c r="AR744" s="10">
        <v>0</v>
      </c>
      <c r="AS744" s="10">
        <v>0</v>
      </c>
      <c r="AT744" s="10">
        <v>0</v>
      </c>
      <c r="AU744" s="10">
        <v>0</v>
      </c>
      <c r="AV744" s="10">
        <v>0</v>
      </c>
      <c r="AW744" s="10">
        <v>0</v>
      </c>
      <c r="AX744" s="10">
        <v>0</v>
      </c>
      <c r="AY744" s="10">
        <v>0</v>
      </c>
      <c r="AZ744" s="10">
        <v>0</v>
      </c>
      <c r="BA744" s="10">
        <v>0</v>
      </c>
      <c r="BB744" s="10">
        <v>0</v>
      </c>
      <c r="BC744" s="10">
        <v>0</v>
      </c>
      <c r="BD744" s="10">
        <v>0</v>
      </c>
      <c r="BE744" s="10">
        <v>0</v>
      </c>
      <c r="BF744" s="10">
        <v>0</v>
      </c>
      <c r="BG744" s="10">
        <v>0</v>
      </c>
      <c r="BH744" s="10">
        <v>0</v>
      </c>
      <c r="BI744" s="10">
        <v>0</v>
      </c>
      <c r="BJ744" s="10">
        <v>0</v>
      </c>
      <c r="BK744" s="10">
        <v>0</v>
      </c>
      <c r="BL744" s="11">
        <v>0</v>
      </c>
    </row>
    <row r="745" spans="4:64" ht="24" customHeight="1" x14ac:dyDescent="0.3">
      <c r="E745" s="18">
        <f ca="1"/>
        <v>-0.54367309112717921</v>
      </c>
      <c r="F745" s="18">
        <f ca="1"/>
        <v>-0.13965160270314358</v>
      </c>
      <c r="G745" s="18">
        <f ca="1"/>
        <v>1.2077943563955973E-2</v>
      </c>
      <c r="H745" s="18">
        <f ca="1"/>
        <v>-0.66613053332411187</v>
      </c>
      <c r="I745" s="18">
        <f ca="1"/>
        <v>0.62176016777564413</v>
      </c>
      <c r="J745" s="18">
        <f ca="1"/>
        <v>0.49735802509165339</v>
      </c>
      <c r="K745" s="18">
        <f ca="1"/>
        <v>8.8929028025974688E-4</v>
      </c>
      <c r="L745" s="18">
        <f ca="1"/>
        <v>0.39535128320660595</v>
      </c>
      <c r="O745" s="12">
        <f ca="1"/>
        <v>2.1690519066037592</v>
      </c>
      <c r="P745" s="13">
        <f ca="1"/>
        <v>3.3568742886631244</v>
      </c>
      <c r="Q745" s="13">
        <f ca="1"/>
        <v>2.5050659024709305</v>
      </c>
      <c r="R745" s="13">
        <f ca="1"/>
        <v>2.2499021071361658</v>
      </c>
      <c r="S745" s="13">
        <f ca="1"/>
        <v>3.0130630306273565</v>
      </c>
      <c r="T745" s="13">
        <f ca="1"/>
        <v>2.705108242415414</v>
      </c>
      <c r="U745" s="13">
        <f ca="1"/>
        <v>2.6119455903050053</v>
      </c>
      <c r="V745" s="13">
        <f ca="1"/>
        <v>3.56469784314005</v>
      </c>
      <c r="W745" s="13">
        <f ca="1"/>
        <v>2.713886060937809</v>
      </c>
      <c r="X745" s="13">
        <f ca="1"/>
        <v>3.8697192077374218</v>
      </c>
      <c r="Y745" s="13">
        <f ca="1"/>
        <v>2.2811896101083726</v>
      </c>
      <c r="Z745" s="13">
        <f ca="1"/>
        <v>2.4773996354783447</v>
      </c>
      <c r="AA745" s="13">
        <f ca="1"/>
        <v>2.4407863341268738</v>
      </c>
      <c r="AB745" s="13">
        <f ca="1"/>
        <v>3.6647606246406421</v>
      </c>
      <c r="AC745" s="13">
        <f ca="1"/>
        <v>2.5425667843824042</v>
      </c>
      <c r="AD745" s="13">
        <f ca="1"/>
        <v>2.8324297366245004</v>
      </c>
      <c r="AE745" s="13">
        <f ca="1"/>
        <v>1.3940417280423469</v>
      </c>
      <c r="AF745" s="13">
        <f ca="1"/>
        <v>2.2583482983050791</v>
      </c>
      <c r="AG745" s="13">
        <f ca="1"/>
        <v>3.5360997862457264</v>
      </c>
      <c r="AH745" s="13">
        <f ca="1"/>
        <v>4.3422432758099978</v>
      </c>
      <c r="AI745" s="13">
        <f ca="1"/>
        <v>3.6149112968699719</v>
      </c>
      <c r="AJ745" s="13">
        <f ca="1"/>
        <v>3.418368819627827</v>
      </c>
      <c r="AK745" s="13">
        <f ca="1"/>
        <v>1.8667943988177309</v>
      </c>
      <c r="AL745" s="14">
        <f ca="1"/>
        <v>4.426736868127227</v>
      </c>
      <c r="AO745" s="12">
        <v>3</v>
      </c>
      <c r="AP745" s="13">
        <v>3</v>
      </c>
      <c r="AQ745" s="13">
        <v>3</v>
      </c>
      <c r="AR745" s="13">
        <v>3</v>
      </c>
      <c r="AS745" s="13">
        <v>3</v>
      </c>
      <c r="AT745" s="13">
        <v>3</v>
      </c>
      <c r="AU745" s="13">
        <v>3</v>
      </c>
      <c r="AV745" s="13">
        <v>3</v>
      </c>
      <c r="AW745" s="13">
        <v>3</v>
      </c>
      <c r="AX745" s="13">
        <v>3</v>
      </c>
      <c r="AY745" s="13">
        <v>3</v>
      </c>
      <c r="AZ745" s="13">
        <v>3</v>
      </c>
      <c r="BA745" s="13">
        <v>3</v>
      </c>
      <c r="BB745" s="13">
        <v>3</v>
      </c>
      <c r="BC745" s="13">
        <v>3</v>
      </c>
      <c r="BD745" s="13">
        <v>3</v>
      </c>
      <c r="BE745" s="13">
        <v>3</v>
      </c>
      <c r="BF745" s="13">
        <v>3</v>
      </c>
      <c r="BG745" s="13">
        <v>3</v>
      </c>
      <c r="BH745" s="13">
        <v>3</v>
      </c>
      <c r="BI745" s="13">
        <v>3</v>
      </c>
      <c r="BJ745" s="13">
        <v>3</v>
      </c>
      <c r="BK745" s="13">
        <v>3</v>
      </c>
      <c r="BL745" s="14">
        <v>3</v>
      </c>
    </row>
    <row r="746" spans="4:64" ht="24" customHeight="1" x14ac:dyDescent="0.3">
      <c r="E746" s="18">
        <f ca="1"/>
        <v>-0.79851678302311146</v>
      </c>
      <c r="F746" s="18">
        <f ca="1"/>
        <v>3.1246323866088943E-2</v>
      </c>
      <c r="G746" s="18">
        <f ca="1"/>
        <v>-0.4301498214715167</v>
      </c>
      <c r="H746" s="18">
        <f ca="1"/>
        <v>-0.26765808066491203</v>
      </c>
      <c r="I746" s="18">
        <f ca="1"/>
        <v>-0.8249747664429532</v>
      </c>
      <c r="J746" s="18">
        <f ca="1"/>
        <v>-0.21101940576266287</v>
      </c>
      <c r="K746" s="18">
        <f ca="1"/>
        <v>0.60394449970940833</v>
      </c>
      <c r="L746" s="18">
        <f ca="1"/>
        <v>-0.19376362547967974</v>
      </c>
      <c r="O746" s="12">
        <f ca="1"/>
        <v>0.65060215202457983</v>
      </c>
      <c r="P746" s="13">
        <f ca="1"/>
        <v>0.4669992418229415</v>
      </c>
      <c r="Q746" s="13">
        <f ca="1"/>
        <v>0.80388845734803926</v>
      </c>
      <c r="R746" s="13">
        <f ca="1"/>
        <v>0.34480739244201347</v>
      </c>
      <c r="S746" s="13">
        <f ca="1"/>
        <v>1.5183749762537455</v>
      </c>
      <c r="T746" s="13">
        <f ca="1"/>
        <v>7.2172279633675035E-3</v>
      </c>
      <c r="U746" s="13">
        <f ca="1"/>
        <v>-0.33001554776814435</v>
      </c>
      <c r="V746" s="13">
        <f ca="1"/>
        <v>-0.72982240131722653</v>
      </c>
      <c r="W746" s="13">
        <f ca="1"/>
        <v>-1.3617972560481422</v>
      </c>
      <c r="X746" s="13">
        <f ca="1"/>
        <v>-1.0514165238952482</v>
      </c>
      <c r="Y746" s="13">
        <f ca="1"/>
        <v>1.1693233972004879</v>
      </c>
      <c r="Z746" s="13">
        <f ca="1"/>
        <v>0.87763667378609611</v>
      </c>
      <c r="AA746" s="13">
        <f ca="1"/>
        <v>-0.60819273397829499</v>
      </c>
      <c r="AB746" s="13">
        <f ca="1"/>
        <v>-0.43247439603127263</v>
      </c>
      <c r="AC746" s="13">
        <f ca="1"/>
        <v>0.94257820145961146</v>
      </c>
      <c r="AD746" s="13">
        <f ca="1"/>
        <v>-1.8114065823867238</v>
      </c>
      <c r="AE746" s="13">
        <f ca="1"/>
        <v>0.57116370085639767</v>
      </c>
      <c r="AF746" s="13">
        <f ca="1"/>
        <v>-0.72174535817220042</v>
      </c>
      <c r="AG746" s="13">
        <f ca="1"/>
        <v>-0.34955313570459196</v>
      </c>
      <c r="AH746" s="13">
        <f ca="1"/>
        <v>0.41555905481464755</v>
      </c>
      <c r="AI746" s="13">
        <f ca="1"/>
        <v>1.5550832683057225</v>
      </c>
      <c r="AJ746" s="13">
        <f ca="1"/>
        <v>0.37312177826643944</v>
      </c>
      <c r="AK746" s="13">
        <f ca="1"/>
        <v>0.77735759557024087</v>
      </c>
      <c r="AL746" s="14">
        <f ca="1"/>
        <v>0.96109829342949216</v>
      </c>
      <c r="AO746" s="12">
        <v>0</v>
      </c>
      <c r="AP746" s="13">
        <v>0</v>
      </c>
      <c r="AQ746" s="13">
        <v>0</v>
      </c>
      <c r="AR746" s="13">
        <v>0</v>
      </c>
      <c r="AS746" s="13">
        <v>0</v>
      </c>
      <c r="AT746" s="13">
        <v>0</v>
      </c>
      <c r="AU746" s="13">
        <v>0</v>
      </c>
      <c r="AV746" s="13">
        <v>0</v>
      </c>
      <c r="AW746" s="13">
        <v>0</v>
      </c>
      <c r="AX746" s="13">
        <v>0</v>
      </c>
      <c r="AY746" s="13">
        <v>0</v>
      </c>
      <c r="AZ746" s="13">
        <v>0</v>
      </c>
      <c r="BA746" s="13">
        <v>0</v>
      </c>
      <c r="BB746" s="13">
        <v>0</v>
      </c>
      <c r="BC746" s="13">
        <v>0</v>
      </c>
      <c r="BD746" s="13">
        <v>0</v>
      </c>
      <c r="BE746" s="13">
        <v>0</v>
      </c>
      <c r="BF746" s="13">
        <v>0</v>
      </c>
      <c r="BG746" s="13">
        <v>0</v>
      </c>
      <c r="BH746" s="13">
        <v>0</v>
      </c>
      <c r="BI746" s="13">
        <v>0</v>
      </c>
      <c r="BJ746" s="13">
        <v>0</v>
      </c>
      <c r="BK746" s="13">
        <v>0</v>
      </c>
      <c r="BL746" s="14">
        <v>0</v>
      </c>
    </row>
    <row r="747" spans="4:64" ht="24" customHeight="1" x14ac:dyDescent="0.3">
      <c r="E747" s="18">
        <f ca="1"/>
        <v>-0.62110996774062999</v>
      </c>
      <c r="F747" s="18">
        <f ca="1"/>
        <v>0.47834778896237662</v>
      </c>
      <c r="G747" s="18">
        <f ca="1"/>
        <v>0.70426289269728537</v>
      </c>
      <c r="H747" s="18">
        <f ca="1"/>
        <v>0.21885914140561713</v>
      </c>
      <c r="I747" s="18">
        <f ca="1"/>
        <v>0.24539689405765763</v>
      </c>
      <c r="J747" s="18">
        <f ca="1"/>
        <v>0.36008845949146417</v>
      </c>
      <c r="K747" s="18">
        <f ca="1"/>
        <v>0.43934353879818833</v>
      </c>
      <c r="L747" s="18">
        <f ca="1"/>
        <v>-0.65853781708280179</v>
      </c>
      <c r="O747" s="12">
        <f ca="1"/>
        <v>6.5865106769510184E-2</v>
      </c>
      <c r="P747" s="13">
        <f ca="1"/>
        <v>0.78963377762750631</v>
      </c>
      <c r="Q747" s="13">
        <f ca="1"/>
        <v>1.7449994838275233</v>
      </c>
      <c r="R747" s="13">
        <f ca="1"/>
        <v>0.15776033256289829</v>
      </c>
      <c r="S747" s="13">
        <f ca="1"/>
        <v>-1.0688348176833147</v>
      </c>
      <c r="T747" s="13">
        <f ca="1"/>
        <v>0.16863878416298975</v>
      </c>
      <c r="U747" s="13">
        <f ca="1"/>
        <v>1.8790934124147398</v>
      </c>
      <c r="V747" s="13">
        <f ca="1"/>
        <v>-1.487409068760766</v>
      </c>
      <c r="W747" s="13">
        <f ca="1"/>
        <v>0.1991306646269963</v>
      </c>
      <c r="X747" s="13">
        <f ca="1"/>
        <v>-0.63796328828179638</v>
      </c>
      <c r="Y747" s="13">
        <f ca="1"/>
        <v>-1.3933581090786604</v>
      </c>
      <c r="Z747" s="13">
        <f ca="1"/>
        <v>0.69354291877860952</v>
      </c>
      <c r="AA747" s="13">
        <f ca="1"/>
        <v>0.91627758228501099</v>
      </c>
      <c r="AB747" s="13">
        <f ca="1"/>
        <v>1.5474685369745032</v>
      </c>
      <c r="AC747" s="13">
        <f ca="1"/>
        <v>-0.33043561010433109</v>
      </c>
      <c r="AD747" s="13">
        <f ca="1"/>
        <v>-0.74177154527817402</v>
      </c>
      <c r="AE747" s="13">
        <f ca="1"/>
        <v>-0.54002497022496287</v>
      </c>
      <c r="AF747" s="13">
        <f ca="1"/>
        <v>0.36577504923754606</v>
      </c>
      <c r="AG747" s="13">
        <f ca="1"/>
        <v>0.77968997049129452</v>
      </c>
      <c r="AH747" s="13">
        <f ca="1"/>
        <v>1.1242318985323267</v>
      </c>
      <c r="AI747" s="13">
        <f ca="1"/>
        <v>0.55375269015020112</v>
      </c>
      <c r="AJ747" s="13">
        <f ca="1"/>
        <v>-0.46309481871521208</v>
      </c>
      <c r="AK747" s="13">
        <f ca="1"/>
        <v>1.5059191504765126</v>
      </c>
      <c r="AL747" s="14">
        <f ca="1"/>
        <v>-0.96528474979902357</v>
      </c>
      <c r="AO747" s="12">
        <v>0</v>
      </c>
      <c r="AP747" s="13">
        <v>0</v>
      </c>
      <c r="AQ747" s="13">
        <v>0</v>
      </c>
      <c r="AR747" s="13">
        <v>0</v>
      </c>
      <c r="AS747" s="13">
        <v>0</v>
      </c>
      <c r="AT747" s="13">
        <v>0</v>
      </c>
      <c r="AU747" s="13">
        <v>0</v>
      </c>
      <c r="AV747" s="13">
        <v>0</v>
      </c>
      <c r="AW747" s="13">
        <v>0</v>
      </c>
      <c r="AX747" s="13">
        <v>0</v>
      </c>
      <c r="AY747" s="13">
        <v>0</v>
      </c>
      <c r="AZ747" s="13">
        <v>0</v>
      </c>
      <c r="BA747" s="13">
        <v>0</v>
      </c>
      <c r="BB747" s="13">
        <v>0</v>
      </c>
      <c r="BC747" s="13">
        <v>0</v>
      </c>
      <c r="BD747" s="13">
        <v>0</v>
      </c>
      <c r="BE747" s="13">
        <v>0</v>
      </c>
      <c r="BF747" s="13">
        <v>0</v>
      </c>
      <c r="BG747" s="13">
        <v>0</v>
      </c>
      <c r="BH747" s="13">
        <v>0</v>
      </c>
      <c r="BI747" s="13">
        <v>0</v>
      </c>
      <c r="BJ747" s="13">
        <v>0</v>
      </c>
      <c r="BK747" s="13">
        <v>0</v>
      </c>
      <c r="BL747" s="14">
        <v>0</v>
      </c>
    </row>
    <row r="748" spans="4:64" ht="24" customHeight="1" x14ac:dyDescent="0.3">
      <c r="E748" s="18">
        <f ca="1"/>
        <v>0.71791350153818367</v>
      </c>
      <c r="F748" s="18">
        <f ca="1"/>
        <v>0.15681113120502177</v>
      </c>
      <c r="G748" s="18">
        <f ca="1"/>
        <v>-0.44651279155625589</v>
      </c>
      <c r="H748" s="18">
        <f ca="1"/>
        <v>0.32179578934924935</v>
      </c>
      <c r="I748" s="18">
        <f ca="1"/>
        <v>0.84541051365513553</v>
      </c>
      <c r="J748" s="18">
        <f ca="1"/>
        <v>-0.80055788182795373</v>
      </c>
      <c r="K748" s="18">
        <f ca="1"/>
        <v>0.98898986617467877</v>
      </c>
      <c r="L748" s="18">
        <f ca="1"/>
        <v>0.2297984588834634</v>
      </c>
      <c r="O748" s="12">
        <f ca="1"/>
        <v>3.9989831589934512</v>
      </c>
      <c r="P748" s="13">
        <f ca="1"/>
        <v>3.3109792800850508</v>
      </c>
      <c r="Q748" s="13">
        <f ca="1"/>
        <v>1.9730679044054955</v>
      </c>
      <c r="R748" s="13">
        <f ca="1"/>
        <v>3.7117032806345414</v>
      </c>
      <c r="S748" s="13">
        <f ca="1"/>
        <v>3.1579180849770139</v>
      </c>
      <c r="T748" s="13">
        <f ca="1"/>
        <v>2.4313319383840284</v>
      </c>
      <c r="U748" s="13">
        <f ca="1"/>
        <v>2.9264241452418678</v>
      </c>
      <c r="V748" s="13">
        <f ca="1"/>
        <v>3.7765005056972356</v>
      </c>
      <c r="W748" s="13">
        <f ca="1"/>
        <v>3.1563777211627948</v>
      </c>
      <c r="X748" s="13">
        <f ca="1"/>
        <v>2.7278287658076401</v>
      </c>
      <c r="Y748" s="13">
        <f ca="1"/>
        <v>5.0879956392920453</v>
      </c>
      <c r="Z748" s="13">
        <f ca="1"/>
        <v>4.1904079408729764</v>
      </c>
      <c r="AA748" s="13">
        <f ca="1"/>
        <v>4.246049467718171</v>
      </c>
      <c r="AB748" s="13">
        <f ca="1"/>
        <v>1.7765748836690847</v>
      </c>
      <c r="AC748" s="13">
        <f ca="1"/>
        <v>3.5082634248487805</v>
      </c>
      <c r="AD748" s="13">
        <f ca="1"/>
        <v>3.7235275315458907</v>
      </c>
      <c r="AE748" s="13">
        <f ca="1"/>
        <v>2.6880888909855942</v>
      </c>
      <c r="AF748" s="13">
        <f ca="1"/>
        <v>4.1202816687340675</v>
      </c>
      <c r="AG748" s="13">
        <f ca="1"/>
        <v>3.3682241293750472</v>
      </c>
      <c r="AH748" s="13">
        <f ca="1"/>
        <v>3.7367725750303991</v>
      </c>
      <c r="AI748" s="13">
        <f ca="1"/>
        <v>2.9030047334968114</v>
      </c>
      <c r="AJ748" s="13">
        <f ca="1"/>
        <v>4.2678872038424656</v>
      </c>
      <c r="AK748" s="13">
        <f ca="1"/>
        <v>0.79578073036593944</v>
      </c>
      <c r="AL748" s="14">
        <f ca="1"/>
        <v>1.0789164884179301</v>
      </c>
      <c r="AO748" s="12">
        <v>3</v>
      </c>
      <c r="AP748" s="13">
        <v>3</v>
      </c>
      <c r="AQ748" s="13">
        <v>3</v>
      </c>
      <c r="AR748" s="13">
        <v>3</v>
      </c>
      <c r="AS748" s="13">
        <v>3</v>
      </c>
      <c r="AT748" s="13">
        <v>3</v>
      </c>
      <c r="AU748" s="13">
        <v>3</v>
      </c>
      <c r="AV748" s="13">
        <v>3</v>
      </c>
      <c r="AW748" s="13">
        <v>3</v>
      </c>
      <c r="AX748" s="13">
        <v>3</v>
      </c>
      <c r="AY748" s="13">
        <v>3</v>
      </c>
      <c r="AZ748" s="13">
        <v>3</v>
      </c>
      <c r="BA748" s="13">
        <v>3</v>
      </c>
      <c r="BB748" s="13">
        <v>3</v>
      </c>
      <c r="BC748" s="13">
        <v>3</v>
      </c>
      <c r="BD748" s="13">
        <v>3</v>
      </c>
      <c r="BE748" s="13">
        <v>3</v>
      </c>
      <c r="BF748" s="13">
        <v>3</v>
      </c>
      <c r="BG748" s="13">
        <v>3</v>
      </c>
      <c r="BH748" s="13">
        <v>3</v>
      </c>
      <c r="BI748" s="13">
        <v>3</v>
      </c>
      <c r="BJ748" s="13">
        <v>3</v>
      </c>
      <c r="BK748" s="13">
        <v>3</v>
      </c>
      <c r="BL748" s="14">
        <v>3</v>
      </c>
    </row>
    <row r="749" spans="4:64" ht="24" customHeight="1" x14ac:dyDescent="0.3">
      <c r="E749" s="18">
        <f ca="1"/>
        <v>1.651250168177576E-4</v>
      </c>
      <c r="F749" s="18">
        <f ca="1"/>
        <v>-0.77904704852136941</v>
      </c>
      <c r="G749" s="18">
        <f ca="1"/>
        <v>-0.69818885198080904</v>
      </c>
      <c r="H749" s="18">
        <f ca="1"/>
        <v>0.40319175644972427</v>
      </c>
      <c r="I749" s="18">
        <f ca="1"/>
        <v>-0.33225008052805505</v>
      </c>
      <c r="J749" s="18">
        <f ca="1"/>
        <v>1.0311474541258914E-2</v>
      </c>
      <c r="K749" s="18">
        <f ca="1"/>
        <v>-0.57531129382663293</v>
      </c>
      <c r="L749" s="18">
        <f ca="1"/>
        <v>0.94479862609318976</v>
      </c>
      <c r="O749" s="12">
        <f ca="1"/>
        <v>-1.2687400504161115</v>
      </c>
      <c r="P749" s="13">
        <f ca="1"/>
        <v>0.11214514243720136</v>
      </c>
      <c r="Q749" s="13">
        <f ca="1"/>
        <v>-1.0035033586183482</v>
      </c>
      <c r="R749" s="13">
        <f ca="1"/>
        <v>-0.99373816312460506</v>
      </c>
      <c r="S749" s="13">
        <f ca="1"/>
        <v>0.82724392341748088</v>
      </c>
      <c r="T749" s="13">
        <f ca="1"/>
        <v>-0.30378528037306207</v>
      </c>
      <c r="U749" s="13">
        <f ca="1"/>
        <v>-1.7282310046890741</v>
      </c>
      <c r="V749" s="13">
        <f ca="1"/>
        <v>0.91141423676747391</v>
      </c>
      <c r="W749" s="13">
        <f ca="1"/>
        <v>-1.3572545418309065</v>
      </c>
      <c r="X749" s="13">
        <f ca="1"/>
        <v>1.1571276330787064</v>
      </c>
      <c r="Y749" s="13">
        <f ca="1"/>
        <v>0.61817523677068431</v>
      </c>
      <c r="Z749" s="13">
        <f ca="1"/>
        <v>-0.72837453575370625</v>
      </c>
      <c r="AA749" s="13">
        <f ca="1"/>
        <v>-1.4417089607272482</v>
      </c>
      <c r="AB749" s="13">
        <f ca="1"/>
        <v>0.1838750149240313</v>
      </c>
      <c r="AC749" s="13">
        <f ca="1"/>
        <v>1.2391687076665387</v>
      </c>
      <c r="AD749" s="13">
        <f ca="1"/>
        <v>0.90453584431958745</v>
      </c>
      <c r="AE749" s="13">
        <f ca="1"/>
        <v>0.45884454027011135</v>
      </c>
      <c r="AF749" s="13">
        <f ca="1"/>
        <v>-0.33877638077876521</v>
      </c>
      <c r="AG749" s="13">
        <f ca="1"/>
        <v>-0.73732331474656698</v>
      </c>
      <c r="AH749" s="13">
        <f ca="1"/>
        <v>-1.363571944041563</v>
      </c>
      <c r="AI749" s="13">
        <f ca="1"/>
        <v>-0.5789627235274637</v>
      </c>
      <c r="AJ749" s="13">
        <f ca="1"/>
        <v>0.29535926189862344</v>
      </c>
      <c r="AK749" s="13">
        <f ca="1"/>
        <v>-0.71454702662189928</v>
      </c>
      <c r="AL749" s="14">
        <f ca="1"/>
        <v>1.82097712124567</v>
      </c>
      <c r="AO749" s="12">
        <v>0</v>
      </c>
      <c r="AP749" s="13">
        <v>0</v>
      </c>
      <c r="AQ749" s="13">
        <v>0</v>
      </c>
      <c r="AR749" s="13">
        <v>0</v>
      </c>
      <c r="AS749" s="13">
        <v>0</v>
      </c>
      <c r="AT749" s="13">
        <v>0</v>
      </c>
      <c r="AU749" s="13">
        <v>0</v>
      </c>
      <c r="AV749" s="13">
        <v>0</v>
      </c>
      <c r="AW749" s="13">
        <v>0</v>
      </c>
      <c r="AX749" s="13">
        <v>0</v>
      </c>
      <c r="AY749" s="13">
        <v>0</v>
      </c>
      <c r="AZ749" s="13">
        <v>0</v>
      </c>
      <c r="BA749" s="13">
        <v>0</v>
      </c>
      <c r="BB749" s="13">
        <v>0</v>
      </c>
      <c r="BC749" s="13">
        <v>0</v>
      </c>
      <c r="BD749" s="13">
        <v>0</v>
      </c>
      <c r="BE749" s="13">
        <v>0</v>
      </c>
      <c r="BF749" s="13">
        <v>0</v>
      </c>
      <c r="BG749" s="13">
        <v>0</v>
      </c>
      <c r="BH749" s="13">
        <v>0</v>
      </c>
      <c r="BI749" s="13">
        <v>0</v>
      </c>
      <c r="BJ749" s="13">
        <v>0</v>
      </c>
      <c r="BK749" s="13">
        <v>0</v>
      </c>
      <c r="BL749" s="14">
        <v>0</v>
      </c>
    </row>
    <row r="750" spans="4:64" ht="24" customHeight="1" x14ac:dyDescent="0.3">
      <c r="E750" s="18">
        <f ca="1"/>
        <v>0.7008337539851941</v>
      </c>
      <c r="F750" s="18">
        <f ca="1"/>
        <v>-9.3863536727953889E-2</v>
      </c>
      <c r="G750" s="18">
        <f ca="1"/>
        <v>-0.62730611960463989</v>
      </c>
      <c r="H750" s="18">
        <f ca="1"/>
        <v>0.35467329353792509</v>
      </c>
      <c r="I750" s="18">
        <f ca="1"/>
        <v>0.63101879095851965</v>
      </c>
      <c r="J750" s="18">
        <f ca="1"/>
        <v>0.10215261980644286</v>
      </c>
      <c r="K750" s="18">
        <f ca="1"/>
        <v>0.11623698517767345</v>
      </c>
      <c r="L750" s="18">
        <f ca="1"/>
        <v>-0.39145116416185033</v>
      </c>
      <c r="O750" s="12">
        <f ca="1"/>
        <v>4.3257760447802163E-2</v>
      </c>
      <c r="P750" s="13">
        <f ca="1"/>
        <v>0.30762514301678845</v>
      </c>
      <c r="Q750" s="13">
        <f ca="1"/>
        <v>-0.61513010365363763</v>
      </c>
      <c r="R750" s="13">
        <f ca="1"/>
        <v>-0.11433190231044921</v>
      </c>
      <c r="S750" s="13">
        <f ca="1"/>
        <v>-0.31043277563072413</v>
      </c>
      <c r="T750" s="13">
        <f ca="1"/>
        <v>-0.94474314724697606</v>
      </c>
      <c r="U750" s="13">
        <f ca="1"/>
        <v>-0.34783591253853924</v>
      </c>
      <c r="V750" s="13">
        <f ca="1"/>
        <v>0.84524678775931927</v>
      </c>
      <c r="W750" s="13">
        <f ca="1"/>
        <v>-0.18312652549945047</v>
      </c>
      <c r="X750" s="13">
        <f ca="1"/>
        <v>0.12943607781787492</v>
      </c>
      <c r="Y750" s="13">
        <f ca="1"/>
        <v>-4.2316360985940771E-2</v>
      </c>
      <c r="Z750" s="13">
        <f ca="1"/>
        <v>0.54636514598423302</v>
      </c>
      <c r="AA750" s="13">
        <f ca="1"/>
        <v>0.15357044875264439</v>
      </c>
      <c r="AB750" s="13">
        <f ca="1"/>
        <v>-0.40511650461633719</v>
      </c>
      <c r="AC750" s="13">
        <f ca="1"/>
        <v>-9.7114396946169079E-3</v>
      </c>
      <c r="AD750" s="13">
        <f ca="1"/>
        <v>0.67975998057653131</v>
      </c>
      <c r="AE750" s="13">
        <f ca="1"/>
        <v>0.47282947824175725</v>
      </c>
      <c r="AF750" s="13">
        <f ca="1"/>
        <v>0.8645311485096786</v>
      </c>
      <c r="AG750" s="13">
        <f ca="1"/>
        <v>-1.261872498569512</v>
      </c>
      <c r="AH750" s="13">
        <f ca="1"/>
        <v>-0.27278474343139736</v>
      </c>
      <c r="AI750" s="13">
        <f ca="1"/>
        <v>-4.4811467742574523E-2</v>
      </c>
      <c r="AJ750" s="13">
        <f ca="1"/>
        <v>-0.11451319022979539</v>
      </c>
      <c r="AK750" s="13">
        <f ca="1"/>
        <v>-1.2409968821582644</v>
      </c>
      <c r="AL750" s="14">
        <f ca="1"/>
        <v>-0.74265026053321015</v>
      </c>
      <c r="AO750" s="12">
        <v>0</v>
      </c>
      <c r="AP750" s="13">
        <v>0</v>
      </c>
      <c r="AQ750" s="13">
        <v>0</v>
      </c>
      <c r="AR750" s="13">
        <v>0</v>
      </c>
      <c r="AS750" s="13">
        <v>0</v>
      </c>
      <c r="AT750" s="13">
        <v>0</v>
      </c>
      <c r="AU750" s="13">
        <v>0</v>
      </c>
      <c r="AV750" s="13">
        <v>0</v>
      </c>
      <c r="AW750" s="13">
        <v>0</v>
      </c>
      <c r="AX750" s="13">
        <v>0</v>
      </c>
      <c r="AY750" s="13">
        <v>0</v>
      </c>
      <c r="AZ750" s="13">
        <v>0</v>
      </c>
      <c r="BA750" s="13">
        <v>0</v>
      </c>
      <c r="BB750" s="13">
        <v>0</v>
      </c>
      <c r="BC750" s="13">
        <v>0</v>
      </c>
      <c r="BD750" s="13">
        <v>0</v>
      </c>
      <c r="BE750" s="13">
        <v>0</v>
      </c>
      <c r="BF750" s="13">
        <v>0</v>
      </c>
      <c r="BG750" s="13">
        <v>0</v>
      </c>
      <c r="BH750" s="13">
        <v>0</v>
      </c>
      <c r="BI750" s="13">
        <v>0</v>
      </c>
      <c r="BJ750" s="13">
        <v>0</v>
      </c>
      <c r="BK750" s="13">
        <v>0</v>
      </c>
      <c r="BL750" s="14">
        <v>0</v>
      </c>
    </row>
    <row r="751" spans="4:64" ht="24" customHeight="1" x14ac:dyDescent="0.3">
      <c r="E751" s="18">
        <f ca="1"/>
        <v>-0.11427249666604977</v>
      </c>
      <c r="F751" s="18">
        <f ca="1"/>
        <v>-0.68924104766658711</v>
      </c>
      <c r="G751" s="18">
        <f ca="1"/>
        <v>0.90275214350016597</v>
      </c>
      <c r="H751" s="18">
        <f ca="1"/>
        <v>0.29732416570315001</v>
      </c>
      <c r="I751" s="18">
        <f ca="1"/>
        <v>0.45943088487779438</v>
      </c>
      <c r="J751" s="18">
        <f ca="1"/>
        <v>-0.65388855856312311</v>
      </c>
      <c r="K751" s="18">
        <f ca="1"/>
        <v>-0.49600312171201422</v>
      </c>
      <c r="L751" s="18">
        <f ca="1"/>
        <v>-0.41042969313148037</v>
      </c>
      <c r="O751" s="15">
        <f ca="1"/>
        <v>2.7615092718347176</v>
      </c>
      <c r="P751" s="16">
        <f ca="1"/>
        <v>3.5255932522674511</v>
      </c>
      <c r="Q751" s="16">
        <f ca="1"/>
        <v>2.7806039189903022</v>
      </c>
      <c r="R751" s="16">
        <f ca="1"/>
        <v>4.2608576942525893</v>
      </c>
      <c r="S751" s="16">
        <f ca="1"/>
        <v>1.2839513282740902</v>
      </c>
      <c r="T751" s="16">
        <f ca="1"/>
        <v>3.4401143099790805</v>
      </c>
      <c r="U751" s="16">
        <f ca="1"/>
        <v>4.1971611055959475</v>
      </c>
      <c r="V751" s="16">
        <f ca="1"/>
        <v>2.2401371501307241</v>
      </c>
      <c r="W751" s="16">
        <f ca="1"/>
        <v>4.2966889430513149</v>
      </c>
      <c r="X751" s="16">
        <f ca="1"/>
        <v>2.3497550852582352</v>
      </c>
      <c r="Y751" s="16">
        <f ca="1"/>
        <v>1.2381541329189516</v>
      </c>
      <c r="Z751" s="16">
        <f ca="1"/>
        <v>4.2140314013475164</v>
      </c>
      <c r="AA751" s="16">
        <f ca="1"/>
        <v>2.5932858090047688</v>
      </c>
      <c r="AB751" s="16">
        <f ca="1"/>
        <v>4.5561269011804413</v>
      </c>
      <c r="AC751" s="16">
        <f ca="1"/>
        <v>2.2196175316769198</v>
      </c>
      <c r="AD751" s="16">
        <f ca="1"/>
        <v>4.2273015464804997</v>
      </c>
      <c r="AE751" s="16">
        <f ca="1"/>
        <v>2.4178531149179623</v>
      </c>
      <c r="AF751" s="16">
        <f ca="1"/>
        <v>2.4739256346350875</v>
      </c>
      <c r="AG751" s="16">
        <f ca="1"/>
        <v>4.1784287229335773</v>
      </c>
      <c r="AH751" s="16">
        <f ca="1"/>
        <v>3.4350776013244091</v>
      </c>
      <c r="AI751" s="16">
        <f ca="1"/>
        <v>1.329389294462811</v>
      </c>
      <c r="AJ751" s="16">
        <f ca="1"/>
        <v>2.2504834593503671</v>
      </c>
      <c r="AK751" s="16">
        <f ca="1"/>
        <v>4.1259901177605158</v>
      </c>
      <c r="AL751" s="17">
        <f ca="1"/>
        <v>1.5630409322517456</v>
      </c>
      <c r="AO751" s="15">
        <v>3</v>
      </c>
      <c r="AP751" s="16">
        <v>3</v>
      </c>
      <c r="AQ751" s="16">
        <v>3</v>
      </c>
      <c r="AR751" s="16">
        <v>3</v>
      </c>
      <c r="AS751" s="16">
        <v>3</v>
      </c>
      <c r="AT751" s="16">
        <v>3</v>
      </c>
      <c r="AU751" s="16">
        <v>3</v>
      </c>
      <c r="AV751" s="16">
        <v>3</v>
      </c>
      <c r="AW751" s="16">
        <v>3</v>
      </c>
      <c r="AX751" s="16">
        <v>3</v>
      </c>
      <c r="AY751" s="16">
        <v>3</v>
      </c>
      <c r="AZ751" s="16">
        <v>3</v>
      </c>
      <c r="BA751" s="16">
        <v>3</v>
      </c>
      <c r="BB751" s="16">
        <v>3</v>
      </c>
      <c r="BC751" s="16">
        <v>3</v>
      </c>
      <c r="BD751" s="16">
        <v>3</v>
      </c>
      <c r="BE751" s="16">
        <v>3</v>
      </c>
      <c r="BF751" s="16">
        <v>3</v>
      </c>
      <c r="BG751" s="16">
        <v>3</v>
      </c>
      <c r="BH751" s="16">
        <v>3</v>
      </c>
      <c r="BI751" s="16">
        <v>3</v>
      </c>
      <c r="BJ751" s="16">
        <v>3</v>
      </c>
      <c r="BK751" s="16">
        <v>3</v>
      </c>
      <c r="BL751" s="17">
        <v>3</v>
      </c>
    </row>
    <row r="752" spans="4:64" ht="24" customHeight="1" x14ac:dyDescent="0.3">
      <c r="D752" s="3" t="s">
        <v>191</v>
      </c>
    </row>
    <row r="753" spans="5:38" ht="24" customHeight="1" x14ac:dyDescent="0.3">
      <c r="E753" s="8">
        <v>0</v>
      </c>
      <c r="N753" s="7" t="s">
        <v>192</v>
      </c>
    </row>
    <row r="754" spans="5:38" ht="24" customHeight="1" x14ac:dyDescent="0.3">
      <c r="E754" s="8">
        <v>0</v>
      </c>
    </row>
    <row r="755" spans="5:38" ht="24" customHeight="1" x14ac:dyDescent="0.3">
      <c r="E755" s="8">
        <v>0</v>
      </c>
    </row>
    <row r="756" spans="5:38" ht="24" customHeight="1" x14ac:dyDescent="0.3">
      <c r="E756" s="8">
        <v>0</v>
      </c>
    </row>
    <row r="757" spans="5:38" ht="24" customHeight="1" x14ac:dyDescent="0.3">
      <c r="E757" s="8">
        <v>0</v>
      </c>
    </row>
    <row r="758" spans="5:38" ht="24" customHeight="1" x14ac:dyDescent="0.3">
      <c r="E758" s="8">
        <v>0</v>
      </c>
    </row>
    <row r="759" spans="5:38" ht="24" customHeight="1" x14ac:dyDescent="0.3">
      <c r="E759" s="8">
        <v>0</v>
      </c>
    </row>
    <row r="760" spans="5:38" ht="24" customHeight="1" x14ac:dyDescent="0.3">
      <c r="E760" s="8">
        <v>0</v>
      </c>
    </row>
    <row r="762" spans="5:38" ht="24" customHeight="1" x14ac:dyDescent="0.3">
      <c r="N762" s="7" t="s">
        <v>193</v>
      </c>
      <c r="O762" s="9" cm="1">
        <f t="array" aca="1" ref="O762:AL769" ca="1">_xlfn.ANCHORARRAY(O744)+IF(_xlfn.SEQUENCE(1,F733)&gt;0,E753:E760,0)</f>
        <v>0.41165836550547324</v>
      </c>
      <c r="P762" s="10">
        <f ca="1"/>
        <v>-0.73814748934012719</v>
      </c>
      <c r="Q762" s="10">
        <f ca="1"/>
        <v>0.48882398608594607</v>
      </c>
      <c r="R762" s="10">
        <f ca="1"/>
        <v>-0.17375742487348939</v>
      </c>
      <c r="S762" s="10">
        <f ca="1"/>
        <v>-0.60926960660859264</v>
      </c>
      <c r="T762" s="10">
        <f ca="1"/>
        <v>1.2073791494846162</v>
      </c>
      <c r="U762" s="10">
        <f ca="1"/>
        <v>1.3652658875234569</v>
      </c>
      <c r="V762" s="10">
        <f ca="1"/>
        <v>-0.31853940106798057</v>
      </c>
      <c r="W762" s="10">
        <f ca="1"/>
        <v>1.5183853119161286</v>
      </c>
      <c r="X762" s="10">
        <f ca="1"/>
        <v>0.61798201978208045</v>
      </c>
      <c r="Y762" s="10">
        <f ca="1"/>
        <v>0.69334995368475894</v>
      </c>
      <c r="Z762" s="10">
        <f ca="1"/>
        <v>-1.307484672108878</v>
      </c>
      <c r="AA762" s="10">
        <f ca="1"/>
        <v>1.6405394934711455</v>
      </c>
      <c r="AB762" s="10">
        <f ca="1"/>
        <v>-0.1598824278541503</v>
      </c>
      <c r="AC762" s="10">
        <f ca="1"/>
        <v>-9.0983329967905868E-2</v>
      </c>
      <c r="AD762" s="10">
        <f ca="1"/>
        <v>0.1812907256057916</v>
      </c>
      <c r="AE762" s="10">
        <f ca="1"/>
        <v>-1.0389241207714559</v>
      </c>
      <c r="AF762" s="10">
        <f ca="1"/>
        <v>0.57238153574849704</v>
      </c>
      <c r="AG762" s="10">
        <f ca="1"/>
        <v>2.6374294681910526</v>
      </c>
      <c r="AH762" s="10">
        <f ca="1"/>
        <v>0.55709553987803762</v>
      </c>
      <c r="AI762" s="10">
        <f ca="1"/>
        <v>-0.42412837841865864</v>
      </c>
      <c r="AJ762" s="10">
        <f ca="1"/>
        <v>0.72996953375153872</v>
      </c>
      <c r="AK762" s="10">
        <f ca="1"/>
        <v>0.25422242137847229</v>
      </c>
      <c r="AL762" s="11">
        <f ca="1"/>
        <v>-0.83876289116694147</v>
      </c>
    </row>
    <row r="763" spans="5:38" ht="24" customHeight="1" x14ac:dyDescent="0.3">
      <c r="O763" s="12">
        <f ca="1"/>
        <v>2.1690519066037592</v>
      </c>
      <c r="P763" s="13">
        <f ca="1"/>
        <v>3.3568742886631244</v>
      </c>
      <c r="Q763" s="13">
        <f ca="1"/>
        <v>2.5050659024709305</v>
      </c>
      <c r="R763" s="13">
        <f ca="1"/>
        <v>2.2499021071361658</v>
      </c>
      <c r="S763" s="13">
        <f ca="1"/>
        <v>3.0130630306273565</v>
      </c>
      <c r="T763" s="13">
        <f ca="1"/>
        <v>2.705108242415414</v>
      </c>
      <c r="U763" s="13">
        <f ca="1"/>
        <v>2.6119455903050053</v>
      </c>
      <c r="V763" s="13">
        <f ca="1"/>
        <v>3.56469784314005</v>
      </c>
      <c r="W763" s="13">
        <f ca="1"/>
        <v>2.713886060937809</v>
      </c>
      <c r="X763" s="13">
        <f ca="1"/>
        <v>3.8697192077374218</v>
      </c>
      <c r="Y763" s="13">
        <f ca="1"/>
        <v>2.2811896101083726</v>
      </c>
      <c r="Z763" s="13">
        <f ca="1"/>
        <v>2.4773996354783447</v>
      </c>
      <c r="AA763" s="13">
        <f ca="1"/>
        <v>2.4407863341268738</v>
      </c>
      <c r="AB763" s="13">
        <f ca="1"/>
        <v>3.6647606246406421</v>
      </c>
      <c r="AC763" s="13">
        <f ca="1"/>
        <v>2.5425667843824042</v>
      </c>
      <c r="AD763" s="13">
        <f ca="1"/>
        <v>2.8324297366245004</v>
      </c>
      <c r="AE763" s="13">
        <f ca="1"/>
        <v>1.3940417280423469</v>
      </c>
      <c r="AF763" s="13">
        <f ca="1"/>
        <v>2.2583482983050791</v>
      </c>
      <c r="AG763" s="13">
        <f ca="1"/>
        <v>3.5360997862457264</v>
      </c>
      <c r="AH763" s="13">
        <f ca="1"/>
        <v>4.3422432758099978</v>
      </c>
      <c r="AI763" s="13">
        <f ca="1"/>
        <v>3.6149112968699719</v>
      </c>
      <c r="AJ763" s="13">
        <f ca="1"/>
        <v>3.418368819627827</v>
      </c>
      <c r="AK763" s="13">
        <f ca="1"/>
        <v>1.8667943988177309</v>
      </c>
      <c r="AL763" s="14">
        <f ca="1"/>
        <v>4.426736868127227</v>
      </c>
    </row>
    <row r="764" spans="5:38" ht="24" customHeight="1" x14ac:dyDescent="0.3">
      <c r="O764" s="12">
        <f ca="1"/>
        <v>0.65060215202457983</v>
      </c>
      <c r="P764" s="13">
        <f ca="1"/>
        <v>0.4669992418229415</v>
      </c>
      <c r="Q764" s="13">
        <f ca="1"/>
        <v>0.80388845734803926</v>
      </c>
      <c r="R764" s="13">
        <f ca="1"/>
        <v>0.34480739244201347</v>
      </c>
      <c r="S764" s="13">
        <f ca="1"/>
        <v>1.5183749762537455</v>
      </c>
      <c r="T764" s="13">
        <f ca="1"/>
        <v>7.2172279633675035E-3</v>
      </c>
      <c r="U764" s="13">
        <f ca="1"/>
        <v>-0.33001554776814435</v>
      </c>
      <c r="V764" s="13">
        <f ca="1"/>
        <v>-0.72982240131722653</v>
      </c>
      <c r="W764" s="13">
        <f ca="1"/>
        <v>-1.3617972560481422</v>
      </c>
      <c r="X764" s="13">
        <f ca="1"/>
        <v>-1.0514165238952482</v>
      </c>
      <c r="Y764" s="13">
        <f ca="1"/>
        <v>1.1693233972004879</v>
      </c>
      <c r="Z764" s="13">
        <f ca="1"/>
        <v>0.87763667378609611</v>
      </c>
      <c r="AA764" s="13">
        <f ca="1"/>
        <v>-0.60819273397829499</v>
      </c>
      <c r="AB764" s="13">
        <f ca="1"/>
        <v>-0.43247439603127263</v>
      </c>
      <c r="AC764" s="13">
        <f ca="1"/>
        <v>0.94257820145961146</v>
      </c>
      <c r="AD764" s="13">
        <f ca="1"/>
        <v>-1.8114065823867238</v>
      </c>
      <c r="AE764" s="13">
        <f ca="1"/>
        <v>0.57116370085639767</v>
      </c>
      <c r="AF764" s="13">
        <f ca="1"/>
        <v>-0.72174535817220042</v>
      </c>
      <c r="AG764" s="13">
        <f ca="1"/>
        <v>-0.34955313570459196</v>
      </c>
      <c r="AH764" s="13">
        <f ca="1"/>
        <v>0.41555905481464755</v>
      </c>
      <c r="AI764" s="13">
        <f ca="1"/>
        <v>1.5550832683057225</v>
      </c>
      <c r="AJ764" s="13">
        <f ca="1"/>
        <v>0.37312177826643944</v>
      </c>
      <c r="AK764" s="13">
        <f ca="1"/>
        <v>0.77735759557024087</v>
      </c>
      <c r="AL764" s="14">
        <f ca="1"/>
        <v>0.96109829342949216</v>
      </c>
    </row>
    <row r="765" spans="5:38" ht="24" customHeight="1" x14ac:dyDescent="0.3">
      <c r="O765" s="12">
        <f ca="1"/>
        <v>6.5865106769510184E-2</v>
      </c>
      <c r="P765" s="13">
        <f ca="1"/>
        <v>0.78963377762750631</v>
      </c>
      <c r="Q765" s="13">
        <f ca="1"/>
        <v>1.7449994838275233</v>
      </c>
      <c r="R765" s="13">
        <f ca="1"/>
        <v>0.15776033256289829</v>
      </c>
      <c r="S765" s="13">
        <f ca="1"/>
        <v>-1.0688348176833147</v>
      </c>
      <c r="T765" s="13">
        <f ca="1"/>
        <v>0.16863878416298975</v>
      </c>
      <c r="U765" s="13">
        <f ca="1"/>
        <v>1.8790934124147398</v>
      </c>
      <c r="V765" s="13">
        <f ca="1"/>
        <v>-1.487409068760766</v>
      </c>
      <c r="W765" s="13">
        <f ca="1"/>
        <v>0.1991306646269963</v>
      </c>
      <c r="X765" s="13">
        <f ca="1"/>
        <v>-0.63796328828179638</v>
      </c>
      <c r="Y765" s="13">
        <f ca="1"/>
        <v>-1.3933581090786604</v>
      </c>
      <c r="Z765" s="13">
        <f ca="1"/>
        <v>0.69354291877860952</v>
      </c>
      <c r="AA765" s="13">
        <f ca="1"/>
        <v>0.91627758228501099</v>
      </c>
      <c r="AB765" s="13">
        <f ca="1"/>
        <v>1.5474685369745032</v>
      </c>
      <c r="AC765" s="13">
        <f ca="1"/>
        <v>-0.33043561010433109</v>
      </c>
      <c r="AD765" s="13">
        <f ca="1"/>
        <v>-0.74177154527817402</v>
      </c>
      <c r="AE765" s="13">
        <f ca="1"/>
        <v>-0.54002497022496287</v>
      </c>
      <c r="AF765" s="13">
        <f ca="1"/>
        <v>0.36577504923754606</v>
      </c>
      <c r="AG765" s="13">
        <f ca="1"/>
        <v>0.77968997049129452</v>
      </c>
      <c r="AH765" s="13">
        <f ca="1"/>
        <v>1.1242318985323267</v>
      </c>
      <c r="AI765" s="13">
        <f ca="1"/>
        <v>0.55375269015020112</v>
      </c>
      <c r="AJ765" s="13">
        <f ca="1"/>
        <v>-0.46309481871521208</v>
      </c>
      <c r="AK765" s="13">
        <f ca="1"/>
        <v>1.5059191504765126</v>
      </c>
      <c r="AL765" s="14">
        <f ca="1"/>
        <v>-0.96528474979902357</v>
      </c>
    </row>
    <row r="766" spans="5:38" ht="24" customHeight="1" x14ac:dyDescent="0.3">
      <c r="O766" s="12">
        <f ca="1"/>
        <v>3.9989831589934512</v>
      </c>
      <c r="P766" s="13">
        <f ca="1"/>
        <v>3.3109792800850508</v>
      </c>
      <c r="Q766" s="13">
        <f ca="1"/>
        <v>1.9730679044054955</v>
      </c>
      <c r="R766" s="13">
        <f ca="1"/>
        <v>3.7117032806345414</v>
      </c>
      <c r="S766" s="13">
        <f ca="1"/>
        <v>3.1579180849770139</v>
      </c>
      <c r="T766" s="13">
        <f ca="1"/>
        <v>2.4313319383840284</v>
      </c>
      <c r="U766" s="13">
        <f ca="1"/>
        <v>2.9264241452418678</v>
      </c>
      <c r="V766" s="13">
        <f ca="1"/>
        <v>3.7765005056972356</v>
      </c>
      <c r="W766" s="13">
        <f ca="1"/>
        <v>3.1563777211627948</v>
      </c>
      <c r="X766" s="13">
        <f ca="1"/>
        <v>2.7278287658076401</v>
      </c>
      <c r="Y766" s="13">
        <f ca="1"/>
        <v>5.0879956392920453</v>
      </c>
      <c r="Z766" s="13">
        <f ca="1"/>
        <v>4.1904079408729764</v>
      </c>
      <c r="AA766" s="13">
        <f ca="1"/>
        <v>4.246049467718171</v>
      </c>
      <c r="AB766" s="13">
        <f ca="1"/>
        <v>1.7765748836690847</v>
      </c>
      <c r="AC766" s="13">
        <f ca="1"/>
        <v>3.5082634248487805</v>
      </c>
      <c r="AD766" s="13">
        <f ca="1"/>
        <v>3.7235275315458907</v>
      </c>
      <c r="AE766" s="13">
        <f ca="1"/>
        <v>2.6880888909855942</v>
      </c>
      <c r="AF766" s="13">
        <f ca="1"/>
        <v>4.1202816687340675</v>
      </c>
      <c r="AG766" s="13">
        <f ca="1"/>
        <v>3.3682241293750472</v>
      </c>
      <c r="AH766" s="13">
        <f ca="1"/>
        <v>3.7367725750303991</v>
      </c>
      <c r="AI766" s="13">
        <f ca="1"/>
        <v>2.9030047334968114</v>
      </c>
      <c r="AJ766" s="13">
        <f ca="1"/>
        <v>4.2678872038424656</v>
      </c>
      <c r="AK766" s="13">
        <f ca="1"/>
        <v>0.79578073036593944</v>
      </c>
      <c r="AL766" s="14">
        <f ca="1"/>
        <v>1.0789164884179301</v>
      </c>
    </row>
    <row r="767" spans="5:38" ht="24" customHeight="1" x14ac:dyDescent="0.3">
      <c r="O767" s="12">
        <f ca="1"/>
        <v>-1.2687400504161115</v>
      </c>
      <c r="P767" s="13">
        <f ca="1"/>
        <v>0.11214514243720136</v>
      </c>
      <c r="Q767" s="13">
        <f ca="1"/>
        <v>-1.0035033586183482</v>
      </c>
      <c r="R767" s="13">
        <f ca="1"/>
        <v>-0.99373816312460506</v>
      </c>
      <c r="S767" s="13">
        <f ca="1"/>
        <v>0.82724392341748088</v>
      </c>
      <c r="T767" s="13">
        <f ca="1"/>
        <v>-0.30378528037306207</v>
      </c>
      <c r="U767" s="13">
        <f ca="1"/>
        <v>-1.7282310046890741</v>
      </c>
      <c r="V767" s="13">
        <f ca="1"/>
        <v>0.91141423676747391</v>
      </c>
      <c r="W767" s="13">
        <f ca="1"/>
        <v>-1.3572545418309065</v>
      </c>
      <c r="X767" s="13">
        <f ca="1"/>
        <v>1.1571276330787064</v>
      </c>
      <c r="Y767" s="13">
        <f ca="1"/>
        <v>0.61817523677068431</v>
      </c>
      <c r="Z767" s="13">
        <f ca="1"/>
        <v>-0.72837453575370625</v>
      </c>
      <c r="AA767" s="13">
        <f ca="1"/>
        <v>-1.4417089607272482</v>
      </c>
      <c r="AB767" s="13">
        <f ca="1"/>
        <v>0.1838750149240313</v>
      </c>
      <c r="AC767" s="13">
        <f ca="1"/>
        <v>1.2391687076665387</v>
      </c>
      <c r="AD767" s="13">
        <f ca="1"/>
        <v>0.90453584431958745</v>
      </c>
      <c r="AE767" s="13">
        <f ca="1"/>
        <v>0.45884454027011135</v>
      </c>
      <c r="AF767" s="13">
        <f ca="1"/>
        <v>-0.33877638077876521</v>
      </c>
      <c r="AG767" s="13">
        <f ca="1"/>
        <v>-0.73732331474656698</v>
      </c>
      <c r="AH767" s="13">
        <f ca="1"/>
        <v>-1.363571944041563</v>
      </c>
      <c r="AI767" s="13">
        <f ca="1"/>
        <v>-0.5789627235274637</v>
      </c>
      <c r="AJ767" s="13">
        <f ca="1"/>
        <v>0.29535926189862344</v>
      </c>
      <c r="AK767" s="13">
        <f ca="1"/>
        <v>-0.71454702662189928</v>
      </c>
      <c r="AL767" s="14">
        <f ca="1"/>
        <v>1.82097712124567</v>
      </c>
    </row>
    <row r="768" spans="5:38" ht="24" customHeight="1" x14ac:dyDescent="0.3">
      <c r="O768" s="12">
        <f ca="1"/>
        <v>4.3257760447802163E-2</v>
      </c>
      <c r="P768" s="13">
        <f ca="1"/>
        <v>0.30762514301678845</v>
      </c>
      <c r="Q768" s="13">
        <f ca="1"/>
        <v>-0.61513010365363763</v>
      </c>
      <c r="R768" s="13">
        <f ca="1"/>
        <v>-0.11433190231044921</v>
      </c>
      <c r="S768" s="13">
        <f ca="1"/>
        <v>-0.31043277563072413</v>
      </c>
      <c r="T768" s="13">
        <f ca="1"/>
        <v>-0.94474314724697606</v>
      </c>
      <c r="U768" s="13">
        <f ca="1"/>
        <v>-0.34783591253853924</v>
      </c>
      <c r="V768" s="13">
        <f ca="1"/>
        <v>0.84524678775931927</v>
      </c>
      <c r="W768" s="13">
        <f ca="1"/>
        <v>-0.18312652549945047</v>
      </c>
      <c r="X768" s="13">
        <f ca="1"/>
        <v>0.12943607781787492</v>
      </c>
      <c r="Y768" s="13">
        <f ca="1"/>
        <v>-4.2316360985940771E-2</v>
      </c>
      <c r="Z768" s="13">
        <f ca="1"/>
        <v>0.54636514598423302</v>
      </c>
      <c r="AA768" s="13">
        <f ca="1"/>
        <v>0.15357044875264439</v>
      </c>
      <c r="AB768" s="13">
        <f ca="1"/>
        <v>-0.40511650461633719</v>
      </c>
      <c r="AC768" s="13">
        <f ca="1"/>
        <v>-9.7114396946169079E-3</v>
      </c>
      <c r="AD768" s="13">
        <f ca="1"/>
        <v>0.67975998057653131</v>
      </c>
      <c r="AE768" s="13">
        <f ca="1"/>
        <v>0.47282947824175725</v>
      </c>
      <c r="AF768" s="13">
        <f ca="1"/>
        <v>0.8645311485096786</v>
      </c>
      <c r="AG768" s="13">
        <f ca="1"/>
        <v>-1.261872498569512</v>
      </c>
      <c r="AH768" s="13">
        <f ca="1"/>
        <v>-0.27278474343139736</v>
      </c>
      <c r="AI768" s="13">
        <f ca="1"/>
        <v>-4.4811467742574523E-2</v>
      </c>
      <c r="AJ768" s="13">
        <f ca="1"/>
        <v>-0.11451319022979539</v>
      </c>
      <c r="AK768" s="13">
        <f ca="1"/>
        <v>-1.2409968821582644</v>
      </c>
      <c r="AL768" s="14">
        <f ca="1"/>
        <v>-0.74265026053321015</v>
      </c>
    </row>
    <row r="769" spans="5:38" ht="24" customHeight="1" x14ac:dyDescent="0.3">
      <c r="O769" s="15">
        <f ca="1"/>
        <v>2.7615092718347176</v>
      </c>
      <c r="P769" s="16">
        <f ca="1"/>
        <v>3.5255932522674511</v>
      </c>
      <c r="Q769" s="16">
        <f ca="1"/>
        <v>2.7806039189903022</v>
      </c>
      <c r="R769" s="16">
        <f ca="1"/>
        <v>4.2608576942525893</v>
      </c>
      <c r="S769" s="16">
        <f ca="1"/>
        <v>1.2839513282740902</v>
      </c>
      <c r="T769" s="16">
        <f ca="1"/>
        <v>3.4401143099790805</v>
      </c>
      <c r="U769" s="16">
        <f ca="1"/>
        <v>4.1971611055959475</v>
      </c>
      <c r="V769" s="16">
        <f ca="1"/>
        <v>2.2401371501307241</v>
      </c>
      <c r="W769" s="16">
        <f ca="1"/>
        <v>4.2966889430513149</v>
      </c>
      <c r="X769" s="16">
        <f ca="1"/>
        <v>2.3497550852582352</v>
      </c>
      <c r="Y769" s="16">
        <f ca="1"/>
        <v>1.2381541329189516</v>
      </c>
      <c r="Z769" s="16">
        <f ca="1"/>
        <v>4.2140314013475164</v>
      </c>
      <c r="AA769" s="16">
        <f ca="1"/>
        <v>2.5932858090047688</v>
      </c>
      <c r="AB769" s="16">
        <f ca="1"/>
        <v>4.5561269011804413</v>
      </c>
      <c r="AC769" s="16">
        <f ca="1"/>
        <v>2.2196175316769198</v>
      </c>
      <c r="AD769" s="16">
        <f ca="1"/>
        <v>4.2273015464804997</v>
      </c>
      <c r="AE769" s="16">
        <f ca="1"/>
        <v>2.4178531149179623</v>
      </c>
      <c r="AF769" s="16">
        <f ca="1"/>
        <v>2.4739256346350875</v>
      </c>
      <c r="AG769" s="16">
        <f ca="1"/>
        <v>4.1784287229335773</v>
      </c>
      <c r="AH769" s="16">
        <f ca="1"/>
        <v>3.4350776013244091</v>
      </c>
      <c r="AI769" s="16">
        <f ca="1"/>
        <v>1.329389294462811</v>
      </c>
      <c r="AJ769" s="16">
        <f ca="1"/>
        <v>2.2504834593503671</v>
      </c>
      <c r="AK769" s="16">
        <f ca="1"/>
        <v>4.1259901177605158</v>
      </c>
      <c r="AL769" s="17">
        <f ca="1"/>
        <v>1.5630409322517456</v>
      </c>
    </row>
    <row r="771" spans="5:38" ht="24" customHeight="1" x14ac:dyDescent="0.3">
      <c r="N771" s="7" t="s">
        <v>194</v>
      </c>
      <c r="O771" s="8">
        <f ca="1">MATCH(LARGE(O762:O769,1),O762:O769,0)</f>
        <v>5</v>
      </c>
      <c r="P771" s="8">
        <f ca="1">MATCH(LARGE(P762:P769,1),P762:P769,0)</f>
        <v>8</v>
      </c>
      <c r="Q771" s="8">
        <f ca="1">MATCH(LARGE(Q762:Q769,1),Q762:Q769,0)</f>
        <v>8</v>
      </c>
      <c r="R771" s="8">
        <f ca="1">MATCH(LARGE(R762:R769,1),R762:R769,0)</f>
        <v>8</v>
      </c>
      <c r="S771" s="8">
        <f ca="1">MATCH(LARGE(S762:S769,1),S762:S769,0)</f>
        <v>5</v>
      </c>
      <c r="T771" s="8">
        <f ca="1">MATCH(LARGE(T762:T769,1),T762:T769,0)</f>
        <v>8</v>
      </c>
      <c r="U771" s="8">
        <f ca="1">MATCH(LARGE(U762:U769,1),U762:U769,0)</f>
        <v>8</v>
      </c>
      <c r="V771" s="8">
        <f ca="1">MATCH(LARGE(V762:V769,1),V762:V769,0)</f>
        <v>5</v>
      </c>
      <c r="W771" s="8">
        <f ca="1">MATCH(LARGE(W762:W769,1),W762:W769,0)</f>
        <v>8</v>
      </c>
      <c r="X771" s="8">
        <f ca="1">MATCH(LARGE(X762:X769,1),X762:X769,0)</f>
        <v>2</v>
      </c>
      <c r="Y771" s="8">
        <f ca="1">MATCH(LARGE(Y762:Y769,1),Y762:Y769,0)</f>
        <v>5</v>
      </c>
      <c r="Z771" s="8">
        <f ca="1">MATCH(LARGE(Z762:Z769,1),Z762:Z769,0)</f>
        <v>8</v>
      </c>
      <c r="AA771" s="8">
        <f ca="1">MATCH(LARGE(AA762:AA769,1),AA762:AA769,0)</f>
        <v>5</v>
      </c>
      <c r="AB771" s="8">
        <f ca="1">MATCH(LARGE(AB762:AB769,1),AB762:AB769,0)</f>
        <v>8</v>
      </c>
      <c r="AC771" s="8">
        <f ca="1">MATCH(LARGE(AC762:AC769,1),AC762:AC769,0)</f>
        <v>5</v>
      </c>
      <c r="AD771" s="8">
        <f ca="1">MATCH(LARGE(AD762:AD769,1),AD762:AD769,0)</f>
        <v>8</v>
      </c>
      <c r="AE771" s="8">
        <f ca="1">MATCH(LARGE(AE762:AE769,1),AE762:AE769,0)</f>
        <v>5</v>
      </c>
      <c r="AF771" s="8">
        <f ca="1">MATCH(LARGE(AF762:AF769,1),AF762:AF769,0)</f>
        <v>5</v>
      </c>
      <c r="AG771" s="8">
        <f ca="1">MATCH(LARGE(AG762:AG769,1),AG762:AG769,0)</f>
        <v>8</v>
      </c>
      <c r="AH771" s="8">
        <f ca="1">MATCH(LARGE(AH762:AH769,1),AH762:AH769,0)</f>
        <v>2</v>
      </c>
      <c r="AI771" s="8">
        <f ca="1">MATCH(LARGE(AI762:AI769,1),AI762:AI769,0)</f>
        <v>2</v>
      </c>
      <c r="AJ771" s="8">
        <f ca="1">MATCH(LARGE(AJ762:AJ769,1),AJ762:AJ769,0)</f>
        <v>5</v>
      </c>
      <c r="AK771" s="8">
        <f ca="1">MATCH(LARGE(AK762:AK769,1),AK762:AK769,0)</f>
        <v>8</v>
      </c>
      <c r="AL771" s="8">
        <f ca="1">MATCH(LARGE(AL762:AL769,1),AL762:AL769,0)</f>
        <v>2</v>
      </c>
    </row>
    <row r="773" spans="5:38" ht="24" customHeight="1" x14ac:dyDescent="0.3">
      <c r="N773" s="7" t="s">
        <v>195</v>
      </c>
      <c r="O773" s="8">
        <f ca="1">COUNTIF(O771:AL771,1)</f>
        <v>0</v>
      </c>
      <c r="P773" s="8">
        <f ca="1">COUNTIF(O771:AL771,2)</f>
        <v>4</v>
      </c>
      <c r="Q773" s="8">
        <f ca="1">COUNTIF(O771:AL771,3)</f>
        <v>0</v>
      </c>
      <c r="R773" s="8">
        <f ca="1">COUNTIF(O771:AL771,4)</f>
        <v>0</v>
      </c>
      <c r="S773" s="8">
        <f ca="1">COUNTIF(O771:AL771,5)</f>
        <v>9</v>
      </c>
      <c r="T773" s="8">
        <f ca="1">COUNTIF(O771:AL771,6)</f>
        <v>0</v>
      </c>
      <c r="U773" s="8">
        <f ca="1">COUNTIF(O771:AL771,7)</f>
        <v>0</v>
      </c>
      <c r="V773" s="8">
        <f ca="1">COUNTIF(O771:AL771,8)</f>
        <v>11</v>
      </c>
    </row>
    <row r="775" spans="5:38" ht="24" customHeight="1" x14ac:dyDescent="0.3">
      <c r="E775" s="8" cm="1">
        <f t="array" aca="1" ref="E775:E782" ca="1">E753:E760+F737*IF(TRANSPOSE(O773:V773)&lt;F733/F735,1,-1)</f>
        <v>0.75</v>
      </c>
      <c r="N775" s="7" t="s">
        <v>196</v>
      </c>
    </row>
    <row r="776" spans="5:38" ht="24" customHeight="1" x14ac:dyDescent="0.3">
      <c r="E776" s="8">
        <f ca="1"/>
        <v>-0.75</v>
      </c>
    </row>
    <row r="777" spans="5:38" ht="24" customHeight="1" x14ac:dyDescent="0.3">
      <c r="E777" s="8">
        <f ca="1"/>
        <v>0.75</v>
      </c>
    </row>
    <row r="778" spans="5:38" ht="24" customHeight="1" x14ac:dyDescent="0.3">
      <c r="E778" s="8">
        <f ca="1"/>
        <v>0.75</v>
      </c>
    </row>
    <row r="779" spans="5:38" ht="24" customHeight="1" x14ac:dyDescent="0.3">
      <c r="E779" s="8">
        <f ca="1"/>
        <v>-0.75</v>
      </c>
    </row>
    <row r="780" spans="5:38" ht="24" customHeight="1" x14ac:dyDescent="0.3">
      <c r="E780" s="8">
        <f ca="1"/>
        <v>0.75</v>
      </c>
    </row>
    <row r="781" spans="5:38" ht="24" customHeight="1" x14ac:dyDescent="0.3">
      <c r="E781" s="8">
        <f ca="1"/>
        <v>0.75</v>
      </c>
    </row>
    <row r="782" spans="5:38" ht="24" customHeight="1" x14ac:dyDescent="0.3">
      <c r="E782" s="8">
        <f ca="1"/>
        <v>-0.75</v>
      </c>
    </row>
    <row r="784" spans="5:38" ht="24" customHeight="1" x14ac:dyDescent="0.3">
      <c r="N784" s="7" t="s">
        <v>197</v>
      </c>
      <c r="O784" s="9" cm="1">
        <f t="array" aca="1" ref="O784:AL791" ca="1">_xlfn.ANCHORARRAY(O744)+IF(_xlfn.SEQUENCE(1,F733)&gt;0,E775:E782,0)</f>
        <v>1.1616583655054733</v>
      </c>
      <c r="P784" s="10">
        <f ca="1"/>
        <v>1.1852510659872806E-2</v>
      </c>
      <c r="Q784" s="10">
        <f ca="1"/>
        <v>1.238823986085946</v>
      </c>
      <c r="R784" s="10">
        <f ca="1"/>
        <v>0.57624257512651056</v>
      </c>
      <c r="S784" s="10">
        <f ca="1"/>
        <v>0.14073039339140736</v>
      </c>
      <c r="T784" s="10">
        <f ca="1"/>
        <v>1.9573791494846162</v>
      </c>
      <c r="U784" s="10">
        <f ca="1"/>
        <v>2.1152658875234569</v>
      </c>
      <c r="V784" s="10">
        <f ca="1"/>
        <v>0.43146059893201943</v>
      </c>
      <c r="W784" s="10">
        <f ca="1"/>
        <v>2.2683853119161288</v>
      </c>
      <c r="X784" s="10">
        <f ca="1"/>
        <v>1.3679820197820804</v>
      </c>
      <c r="Y784" s="10">
        <f ca="1"/>
        <v>1.4433499536847589</v>
      </c>
      <c r="Z784" s="10">
        <f ca="1"/>
        <v>-0.55748467210887798</v>
      </c>
      <c r="AA784" s="10">
        <f ca="1"/>
        <v>2.3905394934711452</v>
      </c>
      <c r="AB784" s="10">
        <f ca="1"/>
        <v>0.5901175721458497</v>
      </c>
      <c r="AC784" s="10">
        <f ca="1"/>
        <v>0.65901667003209408</v>
      </c>
      <c r="AD784" s="10">
        <f ca="1"/>
        <v>0.93129072560579162</v>
      </c>
      <c r="AE784" s="10">
        <f ca="1"/>
        <v>-0.28892412077145591</v>
      </c>
      <c r="AF784" s="10">
        <f ca="1"/>
        <v>1.3223815357484971</v>
      </c>
      <c r="AG784" s="10">
        <f ca="1"/>
        <v>3.3874294681910526</v>
      </c>
      <c r="AH784" s="10">
        <f ca="1"/>
        <v>1.3070955398780377</v>
      </c>
      <c r="AI784" s="10">
        <f ca="1"/>
        <v>0.32587162158134136</v>
      </c>
      <c r="AJ784" s="10">
        <f ca="1"/>
        <v>1.4799695337515386</v>
      </c>
      <c r="AK784" s="10">
        <f ca="1"/>
        <v>1.0042224213784723</v>
      </c>
      <c r="AL784" s="11">
        <f ca="1"/>
        <v>-8.8762891166941471E-2</v>
      </c>
    </row>
    <row r="785" spans="5:38" ht="24" customHeight="1" x14ac:dyDescent="0.3">
      <c r="O785" s="12">
        <f ca="1"/>
        <v>1.4190519066037592</v>
      </c>
      <c r="P785" s="13">
        <f ca="1"/>
        <v>2.6068742886631244</v>
      </c>
      <c r="Q785" s="13">
        <f ca="1"/>
        <v>1.7550659024709305</v>
      </c>
      <c r="R785" s="13">
        <f ca="1"/>
        <v>1.4999021071361658</v>
      </c>
      <c r="S785" s="13">
        <f ca="1"/>
        <v>2.2630630306273565</v>
      </c>
      <c r="T785" s="13">
        <f ca="1"/>
        <v>1.955108242415414</v>
      </c>
      <c r="U785" s="13">
        <f ca="1"/>
        <v>1.8619455903050053</v>
      </c>
      <c r="V785" s="13">
        <f ca="1"/>
        <v>2.81469784314005</v>
      </c>
      <c r="W785" s="13">
        <f ca="1"/>
        <v>1.963886060937809</v>
      </c>
      <c r="X785" s="13">
        <f ca="1"/>
        <v>3.1197192077374218</v>
      </c>
      <c r="Y785" s="13">
        <f ca="1"/>
        <v>1.5311896101083726</v>
      </c>
      <c r="Z785" s="13">
        <f ca="1"/>
        <v>1.7273996354783447</v>
      </c>
      <c r="AA785" s="13">
        <f ca="1"/>
        <v>1.6907863341268738</v>
      </c>
      <c r="AB785" s="13">
        <f ca="1"/>
        <v>2.9147606246406421</v>
      </c>
      <c r="AC785" s="13">
        <f ca="1"/>
        <v>1.7925667843824042</v>
      </c>
      <c r="AD785" s="13">
        <f ca="1"/>
        <v>2.0824297366245004</v>
      </c>
      <c r="AE785" s="13">
        <f ca="1"/>
        <v>0.64404172804234694</v>
      </c>
      <c r="AF785" s="13">
        <f ca="1"/>
        <v>1.5083482983050791</v>
      </c>
      <c r="AG785" s="13">
        <f ca="1"/>
        <v>2.7860997862457264</v>
      </c>
      <c r="AH785" s="13">
        <f ca="1"/>
        <v>3.5922432758099978</v>
      </c>
      <c r="AI785" s="13">
        <f ca="1"/>
        <v>2.8649112968699719</v>
      </c>
      <c r="AJ785" s="13">
        <f ca="1"/>
        <v>2.668368819627827</v>
      </c>
      <c r="AK785" s="13">
        <f ca="1"/>
        <v>1.1167943988177309</v>
      </c>
      <c r="AL785" s="14">
        <f ca="1"/>
        <v>3.676736868127227</v>
      </c>
    </row>
    <row r="786" spans="5:38" ht="24" customHeight="1" x14ac:dyDescent="0.3">
      <c r="O786" s="12">
        <f ca="1"/>
        <v>1.4006021520245797</v>
      </c>
      <c r="P786" s="13">
        <f ca="1"/>
        <v>1.2169992418229416</v>
      </c>
      <c r="Q786" s="13">
        <f ca="1"/>
        <v>1.5538884573480392</v>
      </c>
      <c r="R786" s="13">
        <f ca="1"/>
        <v>1.0948073924420134</v>
      </c>
      <c r="S786" s="13">
        <f ca="1"/>
        <v>2.2683749762537455</v>
      </c>
      <c r="T786" s="13">
        <f ca="1"/>
        <v>0.75721722796336755</v>
      </c>
      <c r="U786" s="13">
        <f ca="1"/>
        <v>0.41998445223185565</v>
      </c>
      <c r="V786" s="13">
        <f ca="1"/>
        <v>2.0177598682773468E-2</v>
      </c>
      <c r="W786" s="13">
        <f ca="1"/>
        <v>-0.61179725604814217</v>
      </c>
      <c r="X786" s="13">
        <f ca="1"/>
        <v>-0.3014165238952482</v>
      </c>
      <c r="Y786" s="13">
        <f ca="1"/>
        <v>1.9193233972004879</v>
      </c>
      <c r="Z786" s="13">
        <f ca="1"/>
        <v>1.6276366737860961</v>
      </c>
      <c r="AA786" s="13">
        <f ca="1"/>
        <v>0.14180726602170501</v>
      </c>
      <c r="AB786" s="13">
        <f ca="1"/>
        <v>0.31752560396872737</v>
      </c>
      <c r="AC786" s="13">
        <f ca="1"/>
        <v>1.6925782014596114</v>
      </c>
      <c r="AD786" s="13">
        <f ca="1"/>
        <v>-1.0614065823867238</v>
      </c>
      <c r="AE786" s="13">
        <f ca="1"/>
        <v>1.3211637008563977</v>
      </c>
      <c r="AF786" s="13">
        <f ca="1"/>
        <v>2.8254641827799576E-2</v>
      </c>
      <c r="AG786" s="13">
        <f ca="1"/>
        <v>0.40044686429540804</v>
      </c>
      <c r="AH786" s="13">
        <f ca="1"/>
        <v>1.1655590548146475</v>
      </c>
      <c r="AI786" s="13">
        <f ca="1"/>
        <v>2.3050832683057223</v>
      </c>
      <c r="AJ786" s="13">
        <f ca="1"/>
        <v>1.1231217782664396</v>
      </c>
      <c r="AK786" s="13">
        <f ca="1"/>
        <v>1.527357595570241</v>
      </c>
      <c r="AL786" s="14">
        <f ca="1"/>
        <v>1.711098293429492</v>
      </c>
    </row>
    <row r="787" spans="5:38" ht="24" customHeight="1" x14ac:dyDescent="0.3">
      <c r="O787" s="12">
        <f ca="1"/>
        <v>0.81586510676951018</v>
      </c>
      <c r="P787" s="13">
        <f ca="1"/>
        <v>1.5396337776275062</v>
      </c>
      <c r="Q787" s="13">
        <f ca="1"/>
        <v>2.4949994838275233</v>
      </c>
      <c r="R787" s="13">
        <f ca="1"/>
        <v>0.90776033256289823</v>
      </c>
      <c r="S787" s="13">
        <f ca="1"/>
        <v>-0.31883481768331468</v>
      </c>
      <c r="T787" s="13">
        <f ca="1"/>
        <v>0.91863878416298972</v>
      </c>
      <c r="U787" s="13">
        <f ca="1"/>
        <v>2.6290934124147398</v>
      </c>
      <c r="V787" s="13">
        <f ca="1"/>
        <v>-0.73740906876076595</v>
      </c>
      <c r="W787" s="13">
        <f ca="1"/>
        <v>0.94913066462699636</v>
      </c>
      <c r="X787" s="13">
        <f ca="1"/>
        <v>0.11203671171820362</v>
      </c>
      <c r="Y787" s="13">
        <f ca="1"/>
        <v>-0.64335810907866042</v>
      </c>
      <c r="Z787" s="13">
        <f ca="1"/>
        <v>1.4435429187786095</v>
      </c>
      <c r="AA787" s="13">
        <f ca="1"/>
        <v>1.6662775822850109</v>
      </c>
      <c r="AB787" s="13">
        <f ca="1"/>
        <v>2.2974685369745034</v>
      </c>
      <c r="AC787" s="13">
        <f ca="1"/>
        <v>0.41956438989566891</v>
      </c>
      <c r="AD787" s="13">
        <f ca="1"/>
        <v>8.228454721825984E-3</v>
      </c>
      <c r="AE787" s="13">
        <f ca="1"/>
        <v>0.20997502977503713</v>
      </c>
      <c r="AF787" s="13">
        <f ca="1"/>
        <v>1.115775049237546</v>
      </c>
      <c r="AG787" s="13">
        <f ca="1"/>
        <v>1.5296899704912945</v>
      </c>
      <c r="AH787" s="13">
        <f ca="1"/>
        <v>1.8742318985323267</v>
      </c>
      <c r="AI787" s="13">
        <f ca="1"/>
        <v>1.3037526901502012</v>
      </c>
      <c r="AJ787" s="13">
        <f ca="1"/>
        <v>0.28690518128478792</v>
      </c>
      <c r="AK787" s="13">
        <f ca="1"/>
        <v>2.2559191504765126</v>
      </c>
      <c r="AL787" s="14">
        <f ca="1"/>
        <v>-0.21528474979902357</v>
      </c>
    </row>
    <row r="788" spans="5:38" ht="24" customHeight="1" x14ac:dyDescent="0.3">
      <c r="O788" s="12">
        <f ca="1"/>
        <v>3.2489831589934512</v>
      </c>
      <c r="P788" s="13">
        <f ca="1"/>
        <v>2.5609792800850508</v>
      </c>
      <c r="Q788" s="13">
        <f ca="1"/>
        <v>1.2230679044054955</v>
      </c>
      <c r="R788" s="13">
        <f ca="1"/>
        <v>2.9617032806345414</v>
      </c>
      <c r="S788" s="13">
        <f ca="1"/>
        <v>2.4079180849770139</v>
      </c>
      <c r="T788" s="13">
        <f ca="1"/>
        <v>1.6813319383840284</v>
      </c>
      <c r="U788" s="13">
        <f ca="1"/>
        <v>2.1764241452418678</v>
      </c>
      <c r="V788" s="13">
        <f ca="1"/>
        <v>3.0265005056972356</v>
      </c>
      <c r="W788" s="13">
        <f ca="1"/>
        <v>2.4063777211627948</v>
      </c>
      <c r="X788" s="13">
        <f ca="1"/>
        <v>1.9778287658076401</v>
      </c>
      <c r="Y788" s="13">
        <f ca="1"/>
        <v>4.3379956392920453</v>
      </c>
      <c r="Z788" s="13">
        <f ca="1"/>
        <v>3.4404079408729764</v>
      </c>
      <c r="AA788" s="13">
        <f ca="1"/>
        <v>3.496049467718171</v>
      </c>
      <c r="AB788" s="13">
        <f ca="1"/>
        <v>1.0265748836690847</v>
      </c>
      <c r="AC788" s="13">
        <f ca="1"/>
        <v>2.7582634248487805</v>
      </c>
      <c r="AD788" s="13">
        <f ca="1"/>
        <v>2.9735275315458907</v>
      </c>
      <c r="AE788" s="13">
        <f ca="1"/>
        <v>1.9380888909855942</v>
      </c>
      <c r="AF788" s="13">
        <f ca="1"/>
        <v>3.3702816687340675</v>
      </c>
      <c r="AG788" s="13">
        <f ca="1"/>
        <v>2.6182241293750472</v>
      </c>
      <c r="AH788" s="13">
        <f ca="1"/>
        <v>2.9867725750303991</v>
      </c>
      <c r="AI788" s="13">
        <f ca="1"/>
        <v>2.1530047334968114</v>
      </c>
      <c r="AJ788" s="13">
        <f ca="1"/>
        <v>3.5178872038424656</v>
      </c>
      <c r="AK788" s="13">
        <f ca="1"/>
        <v>4.5780730365939437E-2</v>
      </c>
      <c r="AL788" s="14">
        <f ca="1"/>
        <v>0.32891648841793009</v>
      </c>
    </row>
    <row r="789" spans="5:38" ht="24" customHeight="1" x14ac:dyDescent="0.3">
      <c r="O789" s="12">
        <f ca="1"/>
        <v>-0.51874005041611149</v>
      </c>
      <c r="P789" s="13">
        <f ca="1"/>
        <v>0.86214514243720131</v>
      </c>
      <c r="Q789" s="13">
        <f ca="1"/>
        <v>-0.25350335861834816</v>
      </c>
      <c r="R789" s="13">
        <f ca="1"/>
        <v>-0.24373816312460506</v>
      </c>
      <c r="S789" s="13">
        <f ca="1"/>
        <v>1.5772439234174809</v>
      </c>
      <c r="T789" s="13">
        <f ca="1"/>
        <v>0.44621471962693793</v>
      </c>
      <c r="U789" s="13">
        <f ca="1"/>
        <v>-0.97823100468907409</v>
      </c>
      <c r="V789" s="13">
        <f ca="1"/>
        <v>1.6614142367674738</v>
      </c>
      <c r="W789" s="13">
        <f ca="1"/>
        <v>-0.60725454183090655</v>
      </c>
      <c r="X789" s="13">
        <f ca="1"/>
        <v>1.9071276330787064</v>
      </c>
      <c r="Y789" s="13">
        <f ca="1"/>
        <v>1.3681752367706843</v>
      </c>
      <c r="Z789" s="13">
        <f ca="1"/>
        <v>2.1625464246293746E-2</v>
      </c>
      <c r="AA789" s="13">
        <f ca="1"/>
        <v>-0.69170896072724819</v>
      </c>
      <c r="AB789" s="13">
        <f ca="1"/>
        <v>0.93387501492403135</v>
      </c>
      <c r="AC789" s="13">
        <f ca="1"/>
        <v>1.9891687076665387</v>
      </c>
      <c r="AD789" s="13">
        <f ca="1"/>
        <v>1.6545358443195874</v>
      </c>
      <c r="AE789" s="13">
        <f ca="1"/>
        <v>1.2088445402701113</v>
      </c>
      <c r="AF789" s="13">
        <f ca="1"/>
        <v>0.41122361922123479</v>
      </c>
      <c r="AG789" s="13">
        <f ca="1"/>
        <v>1.2676685253433018E-2</v>
      </c>
      <c r="AH789" s="13">
        <f ca="1"/>
        <v>-0.61357194404156301</v>
      </c>
      <c r="AI789" s="13">
        <f ca="1"/>
        <v>0.1710372764725363</v>
      </c>
      <c r="AJ789" s="13">
        <f ca="1"/>
        <v>1.0453592618986234</v>
      </c>
      <c r="AK789" s="13">
        <f ca="1"/>
        <v>3.5452973378100716E-2</v>
      </c>
      <c r="AL789" s="14">
        <f ca="1"/>
        <v>2.57097712124567</v>
      </c>
    </row>
    <row r="790" spans="5:38" ht="24" customHeight="1" x14ac:dyDescent="0.3">
      <c r="O790" s="12">
        <f ca="1"/>
        <v>0.79325776044780216</v>
      </c>
      <c r="P790" s="13">
        <f ca="1"/>
        <v>1.0576251430167884</v>
      </c>
      <c r="Q790" s="13">
        <f ca="1"/>
        <v>0.13486989634636237</v>
      </c>
      <c r="R790" s="13">
        <f ca="1"/>
        <v>0.63566809768955079</v>
      </c>
      <c r="S790" s="13">
        <f ca="1"/>
        <v>0.43956722436927587</v>
      </c>
      <c r="T790" s="13">
        <f ca="1"/>
        <v>-0.19474314724697606</v>
      </c>
      <c r="U790" s="13">
        <f ca="1"/>
        <v>0.40216408746146076</v>
      </c>
      <c r="V790" s="13">
        <f ca="1"/>
        <v>1.5952467877593193</v>
      </c>
      <c r="W790" s="13">
        <f ca="1"/>
        <v>0.56687347450054948</v>
      </c>
      <c r="X790" s="13">
        <f ca="1"/>
        <v>0.87943607781787492</v>
      </c>
      <c r="Y790" s="13">
        <f ca="1"/>
        <v>0.70768363901405928</v>
      </c>
      <c r="Z790" s="13">
        <f ca="1"/>
        <v>1.2963651459842329</v>
      </c>
      <c r="AA790" s="13">
        <f ca="1"/>
        <v>0.90357044875264436</v>
      </c>
      <c r="AB790" s="13">
        <f ca="1"/>
        <v>0.34488349538366281</v>
      </c>
      <c r="AC790" s="13">
        <f ca="1"/>
        <v>0.74028856030538304</v>
      </c>
      <c r="AD790" s="13">
        <f ca="1"/>
        <v>1.4297599805765313</v>
      </c>
      <c r="AE790" s="13">
        <f ca="1"/>
        <v>1.2228294782417573</v>
      </c>
      <c r="AF790" s="13">
        <f ca="1"/>
        <v>1.6145311485096787</v>
      </c>
      <c r="AG790" s="13">
        <f ca="1"/>
        <v>-0.511872498569512</v>
      </c>
      <c r="AH790" s="13">
        <f ca="1"/>
        <v>0.47721525656860264</v>
      </c>
      <c r="AI790" s="13">
        <f ca="1"/>
        <v>0.7051885322574255</v>
      </c>
      <c r="AJ790" s="13">
        <f ca="1"/>
        <v>0.63548680977020466</v>
      </c>
      <c r="AK790" s="13">
        <f ca="1"/>
        <v>-0.49099688215826442</v>
      </c>
      <c r="AL790" s="14">
        <f ca="1"/>
        <v>7.3497394667898508E-3</v>
      </c>
    </row>
    <row r="791" spans="5:38" ht="24" customHeight="1" x14ac:dyDescent="0.3">
      <c r="O791" s="15">
        <f ca="1"/>
        <v>2.0115092718347176</v>
      </c>
      <c r="P791" s="16">
        <f ca="1"/>
        <v>2.7755932522674511</v>
      </c>
      <c r="Q791" s="16">
        <f ca="1"/>
        <v>2.0306039189903022</v>
      </c>
      <c r="R791" s="16">
        <f ca="1"/>
        <v>3.5108576942525893</v>
      </c>
      <c r="S791" s="16">
        <f ca="1"/>
        <v>0.5339513282740902</v>
      </c>
      <c r="T791" s="16">
        <f ca="1"/>
        <v>2.6901143099790805</v>
      </c>
      <c r="U791" s="16">
        <f ca="1"/>
        <v>3.4471611055959475</v>
      </c>
      <c r="V791" s="16">
        <f ca="1"/>
        <v>1.4901371501307241</v>
      </c>
      <c r="W791" s="16">
        <f ca="1"/>
        <v>3.5466889430513149</v>
      </c>
      <c r="X791" s="16">
        <f ca="1"/>
        <v>1.5997550852582352</v>
      </c>
      <c r="Y791" s="16">
        <f ca="1"/>
        <v>0.4881541329189516</v>
      </c>
      <c r="Z791" s="16">
        <f ca="1"/>
        <v>3.4640314013475164</v>
      </c>
      <c r="AA791" s="16">
        <f ca="1"/>
        <v>1.8432858090047688</v>
      </c>
      <c r="AB791" s="16">
        <f ca="1"/>
        <v>3.8061269011804413</v>
      </c>
      <c r="AC791" s="16">
        <f ca="1"/>
        <v>1.4696175316769198</v>
      </c>
      <c r="AD791" s="16">
        <f ca="1"/>
        <v>3.4773015464804997</v>
      </c>
      <c r="AE791" s="16">
        <f ca="1"/>
        <v>1.6678531149179623</v>
      </c>
      <c r="AF791" s="16">
        <f ca="1"/>
        <v>1.7239256346350875</v>
      </c>
      <c r="AG791" s="16">
        <f ca="1"/>
        <v>3.4284287229335773</v>
      </c>
      <c r="AH791" s="16">
        <f ca="1"/>
        <v>2.6850776013244091</v>
      </c>
      <c r="AI791" s="16">
        <f ca="1"/>
        <v>0.57938929446281096</v>
      </c>
      <c r="AJ791" s="16">
        <f ca="1"/>
        <v>1.5004834593503671</v>
      </c>
      <c r="AK791" s="16">
        <f ca="1"/>
        <v>3.3759901177605158</v>
      </c>
      <c r="AL791" s="17">
        <f ca="1"/>
        <v>0.81304093225174556</v>
      </c>
    </row>
    <row r="793" spans="5:38" ht="24" customHeight="1" x14ac:dyDescent="0.3">
      <c r="N793" s="7" t="s">
        <v>198</v>
      </c>
      <c r="O793" s="8">
        <f ca="1">MATCH(LARGE(O784:O791,1),O784:O791,0)</f>
        <v>5</v>
      </c>
      <c r="P793" s="8">
        <f ca="1">MATCH(LARGE(P784:P791,1),P784:P791,0)</f>
        <v>8</v>
      </c>
      <c r="Q793" s="8">
        <f ca="1">MATCH(LARGE(Q784:Q791,1),Q784:Q791,0)</f>
        <v>4</v>
      </c>
      <c r="R793" s="8">
        <f ca="1">MATCH(LARGE(R784:R791,1),R784:R791,0)</f>
        <v>8</v>
      </c>
      <c r="S793" s="8">
        <f ca="1">MATCH(LARGE(S784:S791,1),S784:S791,0)</f>
        <v>5</v>
      </c>
      <c r="T793" s="8">
        <f ca="1">MATCH(LARGE(T784:T791,1),T784:T791,0)</f>
        <v>8</v>
      </c>
      <c r="U793" s="8">
        <f ca="1">MATCH(LARGE(U784:U791,1),U784:U791,0)</f>
        <v>8</v>
      </c>
      <c r="V793" s="8">
        <f ca="1">MATCH(LARGE(V784:V791,1),V784:V791,0)</f>
        <v>5</v>
      </c>
      <c r="W793" s="8">
        <f ca="1">MATCH(LARGE(W784:W791,1),W784:W791,0)</f>
        <v>8</v>
      </c>
      <c r="X793" s="8">
        <f ca="1">MATCH(LARGE(X784:X791,1),X784:X791,0)</f>
        <v>2</v>
      </c>
      <c r="Y793" s="8">
        <f ca="1">MATCH(LARGE(Y784:Y791,1),Y784:Y791,0)</f>
        <v>5</v>
      </c>
      <c r="Z793" s="8">
        <f ca="1">MATCH(LARGE(Z784:Z791,1),Z784:Z791,0)</f>
        <v>8</v>
      </c>
      <c r="AA793" s="8">
        <f ca="1">MATCH(LARGE(AA784:AA791,1),AA784:AA791,0)</f>
        <v>5</v>
      </c>
      <c r="AB793" s="8">
        <f ca="1">MATCH(LARGE(AB784:AB791,1),AB784:AB791,0)</f>
        <v>8</v>
      </c>
      <c r="AC793" s="8">
        <f ca="1">MATCH(LARGE(AC784:AC791,1),AC784:AC791,0)</f>
        <v>5</v>
      </c>
      <c r="AD793" s="8">
        <f ca="1">MATCH(LARGE(AD784:AD791,1),AD784:AD791,0)</f>
        <v>8</v>
      </c>
      <c r="AE793" s="8">
        <f ca="1">MATCH(LARGE(AE784:AE791,1),AE784:AE791,0)</f>
        <v>5</v>
      </c>
      <c r="AF793" s="8">
        <f ca="1">MATCH(LARGE(AF784:AF791,1),AF784:AF791,0)</f>
        <v>5</v>
      </c>
      <c r="AG793" s="8">
        <f ca="1">MATCH(LARGE(AG784:AG791,1),AG784:AG791,0)</f>
        <v>8</v>
      </c>
      <c r="AH793" s="8">
        <f ca="1">MATCH(LARGE(AH784:AH791,1),AH784:AH791,0)</f>
        <v>2</v>
      </c>
      <c r="AI793" s="8">
        <f ca="1">MATCH(LARGE(AI784:AI791,1),AI784:AI791,0)</f>
        <v>2</v>
      </c>
      <c r="AJ793" s="8">
        <f ca="1">MATCH(LARGE(AJ784:AJ791,1),AJ784:AJ791,0)</f>
        <v>5</v>
      </c>
      <c r="AK793" s="8">
        <f ca="1">MATCH(LARGE(AK784:AK791,1),AK784:AK791,0)</f>
        <v>8</v>
      </c>
      <c r="AL793" s="8">
        <f ca="1">MATCH(LARGE(AL784:AL791,1),AL784:AL791,0)</f>
        <v>2</v>
      </c>
    </row>
    <row r="795" spans="5:38" ht="24" customHeight="1" x14ac:dyDescent="0.3">
      <c r="N795" s="7" t="s">
        <v>199</v>
      </c>
      <c r="O795" s="8">
        <f ca="1">COUNTIF(O793:AL793,1)</f>
        <v>0</v>
      </c>
      <c r="P795" s="8">
        <f ca="1">COUNTIF(O793:AL793,2)</f>
        <v>4</v>
      </c>
      <c r="Q795" s="8">
        <f ca="1">COUNTIF(O793:AL793,3)</f>
        <v>0</v>
      </c>
      <c r="R795" s="8">
        <f ca="1">COUNTIF(O793:AL793,4)</f>
        <v>1</v>
      </c>
      <c r="S795" s="8">
        <f ca="1">COUNTIF(O793:AL793,5)</f>
        <v>9</v>
      </c>
      <c r="T795" s="8">
        <f ca="1">COUNTIF(O793:AL793,6)</f>
        <v>0</v>
      </c>
      <c r="U795" s="8">
        <f ca="1">COUNTIF(O793:AL793,7)</f>
        <v>0</v>
      </c>
      <c r="V795" s="8">
        <f ca="1">COUNTIF(O793:AL793,8)</f>
        <v>10</v>
      </c>
    </row>
    <row r="797" spans="5:38" ht="24" customHeight="1" x14ac:dyDescent="0.3">
      <c r="E797" s="8" cm="1">
        <f t="array" aca="1" ref="E797:E804" ca="1">E775:E782+F737*IF(TRANSPOSE(O795:V795)&lt;F733/F735,1,-1)</f>
        <v>1.5</v>
      </c>
      <c r="N797" s="7" t="s">
        <v>200</v>
      </c>
    </row>
    <row r="798" spans="5:38" ht="24" customHeight="1" x14ac:dyDescent="0.3">
      <c r="E798" s="8">
        <f ca="1"/>
        <v>-1.5</v>
      </c>
    </row>
    <row r="799" spans="5:38" ht="24" customHeight="1" x14ac:dyDescent="0.3">
      <c r="E799" s="8">
        <f ca="1"/>
        <v>1.5</v>
      </c>
    </row>
    <row r="800" spans="5:38" ht="24" customHeight="1" x14ac:dyDescent="0.3">
      <c r="E800" s="8">
        <f ca="1"/>
        <v>1.5</v>
      </c>
    </row>
    <row r="801" spans="5:38" ht="24" customHeight="1" x14ac:dyDescent="0.3">
      <c r="E801" s="8">
        <f ca="1"/>
        <v>-1.5</v>
      </c>
    </row>
    <row r="802" spans="5:38" ht="24" customHeight="1" x14ac:dyDescent="0.3">
      <c r="E802" s="8">
        <f ca="1"/>
        <v>1.5</v>
      </c>
    </row>
    <row r="803" spans="5:38" ht="24" customHeight="1" x14ac:dyDescent="0.3">
      <c r="E803" s="8">
        <f ca="1"/>
        <v>1.5</v>
      </c>
    </row>
    <row r="804" spans="5:38" ht="24" customHeight="1" x14ac:dyDescent="0.3">
      <c r="E804" s="8">
        <f ca="1"/>
        <v>-1.5</v>
      </c>
    </row>
    <row r="806" spans="5:38" ht="24" customHeight="1" x14ac:dyDescent="0.3">
      <c r="N806" s="7" t="s">
        <v>201</v>
      </c>
      <c r="O806" s="9" cm="1">
        <f t="array" aca="1" ref="O806:AL813" ca="1">_xlfn.ANCHORARRAY(O744)+IF(_xlfn.SEQUENCE(1,F733)&gt;0,E797:E804,0)</f>
        <v>1.9116583655054733</v>
      </c>
      <c r="P806" s="10">
        <f ca="1"/>
        <v>0.76185251065987281</v>
      </c>
      <c r="Q806" s="10">
        <f ca="1"/>
        <v>1.988823986085946</v>
      </c>
      <c r="R806" s="10">
        <f ca="1"/>
        <v>1.3262425751265106</v>
      </c>
      <c r="S806" s="10">
        <f ca="1"/>
        <v>0.89073039339140736</v>
      </c>
      <c r="T806" s="10">
        <f ca="1"/>
        <v>2.7073791494846162</v>
      </c>
      <c r="U806" s="10">
        <f ca="1"/>
        <v>2.8652658875234569</v>
      </c>
      <c r="V806" s="10">
        <f ca="1"/>
        <v>1.1814605989320195</v>
      </c>
      <c r="W806" s="10">
        <f ca="1"/>
        <v>3.0183853119161288</v>
      </c>
      <c r="X806" s="10">
        <f ca="1"/>
        <v>2.1179820197820804</v>
      </c>
      <c r="Y806" s="10">
        <f ca="1"/>
        <v>2.1933499536847592</v>
      </c>
      <c r="Z806" s="10">
        <f ca="1"/>
        <v>0.19251532789112202</v>
      </c>
      <c r="AA806" s="10">
        <f ca="1"/>
        <v>3.1405394934711452</v>
      </c>
      <c r="AB806" s="10">
        <f ca="1"/>
        <v>1.3401175721458496</v>
      </c>
      <c r="AC806" s="10">
        <f ca="1"/>
        <v>1.4090166700320941</v>
      </c>
      <c r="AD806" s="10">
        <f ca="1"/>
        <v>1.6812907256057916</v>
      </c>
      <c r="AE806" s="10">
        <f ca="1"/>
        <v>0.46107587922854409</v>
      </c>
      <c r="AF806" s="10">
        <f ca="1"/>
        <v>2.0723815357484971</v>
      </c>
      <c r="AG806" s="10">
        <f ca="1"/>
        <v>4.1374294681910531</v>
      </c>
      <c r="AH806" s="10">
        <f ca="1"/>
        <v>2.0570955398780377</v>
      </c>
      <c r="AI806" s="10">
        <f ca="1"/>
        <v>1.0758716215813413</v>
      </c>
      <c r="AJ806" s="10">
        <f ca="1"/>
        <v>2.2299695337515386</v>
      </c>
      <c r="AK806" s="10">
        <f ca="1"/>
        <v>1.7542224213784723</v>
      </c>
      <c r="AL806" s="11">
        <f ca="1"/>
        <v>0.66123710883305853</v>
      </c>
    </row>
    <row r="807" spans="5:38" ht="24" customHeight="1" x14ac:dyDescent="0.3">
      <c r="O807" s="12">
        <f ca="1"/>
        <v>0.66905190660375924</v>
      </c>
      <c r="P807" s="13">
        <f ca="1"/>
        <v>1.8568742886631244</v>
      </c>
      <c r="Q807" s="13">
        <f ca="1"/>
        <v>1.0050659024709305</v>
      </c>
      <c r="R807" s="13">
        <f ca="1"/>
        <v>0.74990210713616579</v>
      </c>
      <c r="S807" s="13">
        <f ca="1"/>
        <v>1.5130630306273565</v>
      </c>
      <c r="T807" s="13">
        <f ca="1"/>
        <v>1.205108242415414</v>
      </c>
      <c r="U807" s="13">
        <f ca="1"/>
        <v>1.1119455903050053</v>
      </c>
      <c r="V807" s="13">
        <f ca="1"/>
        <v>2.06469784314005</v>
      </c>
      <c r="W807" s="13">
        <f ca="1"/>
        <v>1.213886060937809</v>
      </c>
      <c r="X807" s="13">
        <f ca="1"/>
        <v>2.3697192077374218</v>
      </c>
      <c r="Y807" s="13">
        <f ca="1"/>
        <v>0.78118961010837262</v>
      </c>
      <c r="Z807" s="13">
        <f ca="1"/>
        <v>0.97739963547834474</v>
      </c>
      <c r="AA807" s="13">
        <f ca="1"/>
        <v>0.94078633412687385</v>
      </c>
      <c r="AB807" s="13">
        <f ca="1"/>
        <v>2.1647606246406421</v>
      </c>
      <c r="AC807" s="13">
        <f ca="1"/>
        <v>1.0425667843824042</v>
      </c>
      <c r="AD807" s="13">
        <f ca="1"/>
        <v>1.3324297366245004</v>
      </c>
      <c r="AE807" s="13">
        <f ca="1"/>
        <v>-0.10595827195765306</v>
      </c>
      <c r="AF807" s="13">
        <f ca="1"/>
        <v>0.7583482983050791</v>
      </c>
      <c r="AG807" s="13">
        <f ca="1"/>
        <v>2.0360997862457264</v>
      </c>
      <c r="AH807" s="13">
        <f ca="1"/>
        <v>2.8422432758099978</v>
      </c>
      <c r="AI807" s="13">
        <f ca="1"/>
        <v>2.1149112968699719</v>
      </c>
      <c r="AJ807" s="13">
        <f ca="1"/>
        <v>1.918368819627827</v>
      </c>
      <c r="AK807" s="13">
        <f ca="1"/>
        <v>0.3667943988177309</v>
      </c>
      <c r="AL807" s="14">
        <f ca="1"/>
        <v>2.926736868127227</v>
      </c>
    </row>
    <row r="808" spans="5:38" ht="24" customHeight="1" x14ac:dyDescent="0.3">
      <c r="O808" s="12">
        <f ca="1"/>
        <v>2.1506021520245797</v>
      </c>
      <c r="P808" s="13">
        <f ca="1"/>
        <v>1.9669992418229416</v>
      </c>
      <c r="Q808" s="13">
        <f ca="1"/>
        <v>2.3038884573480392</v>
      </c>
      <c r="R808" s="13">
        <f ca="1"/>
        <v>1.8448073924420134</v>
      </c>
      <c r="S808" s="13">
        <f ca="1"/>
        <v>3.0183749762537455</v>
      </c>
      <c r="T808" s="13">
        <f ca="1"/>
        <v>1.5072172279633675</v>
      </c>
      <c r="U808" s="13">
        <f ca="1"/>
        <v>1.1699844522318557</v>
      </c>
      <c r="V808" s="13">
        <f ca="1"/>
        <v>0.77017759868277347</v>
      </c>
      <c r="W808" s="13">
        <f ca="1"/>
        <v>0.13820274395185783</v>
      </c>
      <c r="X808" s="13">
        <f ca="1"/>
        <v>0.4485834761047518</v>
      </c>
      <c r="Y808" s="13">
        <f ca="1"/>
        <v>2.6693233972004879</v>
      </c>
      <c r="Z808" s="13">
        <f ca="1"/>
        <v>2.3776366737860961</v>
      </c>
      <c r="AA808" s="13">
        <f ca="1"/>
        <v>0.89180726602170501</v>
      </c>
      <c r="AB808" s="13">
        <f ca="1"/>
        <v>1.0675256039687273</v>
      </c>
      <c r="AC808" s="13">
        <f ca="1"/>
        <v>2.4425782014596114</v>
      </c>
      <c r="AD808" s="13">
        <f ca="1"/>
        <v>-0.31140658238672381</v>
      </c>
      <c r="AE808" s="13">
        <f ca="1"/>
        <v>2.0711637008563977</v>
      </c>
      <c r="AF808" s="13">
        <f ca="1"/>
        <v>0.77825464182779958</v>
      </c>
      <c r="AG808" s="13">
        <f ca="1"/>
        <v>1.150446864295408</v>
      </c>
      <c r="AH808" s="13">
        <f ca="1"/>
        <v>1.9155590548146475</v>
      </c>
      <c r="AI808" s="13">
        <f ca="1"/>
        <v>3.0550832683057223</v>
      </c>
      <c r="AJ808" s="13">
        <f ca="1"/>
        <v>1.8731217782664396</v>
      </c>
      <c r="AK808" s="13">
        <f ca="1"/>
        <v>2.277357595570241</v>
      </c>
      <c r="AL808" s="14">
        <f ca="1"/>
        <v>2.461098293429492</v>
      </c>
    </row>
    <row r="809" spans="5:38" ht="24" customHeight="1" x14ac:dyDescent="0.3">
      <c r="O809" s="12">
        <f ca="1"/>
        <v>1.5658651067695102</v>
      </c>
      <c r="P809" s="13">
        <f ca="1"/>
        <v>2.2896337776275062</v>
      </c>
      <c r="Q809" s="13">
        <f ca="1"/>
        <v>3.2449994838275233</v>
      </c>
      <c r="R809" s="13">
        <f ca="1"/>
        <v>1.6577603325628982</v>
      </c>
      <c r="S809" s="13">
        <f ca="1"/>
        <v>0.43116518231668532</v>
      </c>
      <c r="T809" s="13">
        <f ca="1"/>
        <v>1.6686387841629897</v>
      </c>
      <c r="U809" s="13">
        <f ca="1"/>
        <v>3.3790934124147398</v>
      </c>
      <c r="V809" s="13">
        <f ca="1"/>
        <v>1.2590931239234049E-2</v>
      </c>
      <c r="W809" s="13">
        <f ca="1"/>
        <v>1.6991306646269964</v>
      </c>
      <c r="X809" s="13">
        <f ca="1"/>
        <v>0.86203671171820362</v>
      </c>
      <c r="Y809" s="13">
        <f ca="1"/>
        <v>0.10664189092133958</v>
      </c>
      <c r="Z809" s="13">
        <f ca="1"/>
        <v>2.1935429187786095</v>
      </c>
      <c r="AA809" s="13">
        <f ca="1"/>
        <v>2.4162775822850109</v>
      </c>
      <c r="AB809" s="13">
        <f ca="1"/>
        <v>3.0474685369745034</v>
      </c>
      <c r="AC809" s="13">
        <f ca="1"/>
        <v>1.1695643898956689</v>
      </c>
      <c r="AD809" s="13">
        <f ca="1"/>
        <v>0.75822845472182598</v>
      </c>
      <c r="AE809" s="13">
        <f ca="1"/>
        <v>0.95997502977503713</v>
      </c>
      <c r="AF809" s="13">
        <f ca="1"/>
        <v>1.865775049237546</v>
      </c>
      <c r="AG809" s="13">
        <f ca="1"/>
        <v>2.2796899704912947</v>
      </c>
      <c r="AH809" s="13">
        <f ca="1"/>
        <v>2.6242318985323267</v>
      </c>
      <c r="AI809" s="13">
        <f ca="1"/>
        <v>2.0537526901502012</v>
      </c>
      <c r="AJ809" s="13">
        <f ca="1"/>
        <v>1.036905181284788</v>
      </c>
      <c r="AK809" s="13">
        <f ca="1"/>
        <v>3.0059191504765126</v>
      </c>
      <c r="AL809" s="14">
        <f ca="1"/>
        <v>0.53471525020097643</v>
      </c>
    </row>
    <row r="810" spans="5:38" ht="24" customHeight="1" x14ac:dyDescent="0.3">
      <c r="O810" s="12">
        <f ca="1"/>
        <v>2.4989831589934512</v>
      </c>
      <c r="P810" s="13">
        <f ca="1"/>
        <v>1.8109792800850508</v>
      </c>
      <c r="Q810" s="13">
        <f ca="1"/>
        <v>0.47306790440549551</v>
      </c>
      <c r="R810" s="13">
        <f ca="1"/>
        <v>2.2117032806345414</v>
      </c>
      <c r="S810" s="13">
        <f ca="1"/>
        <v>1.6579180849770139</v>
      </c>
      <c r="T810" s="13">
        <f ca="1"/>
        <v>0.93133193838402839</v>
      </c>
      <c r="U810" s="13">
        <f ca="1"/>
        <v>1.4264241452418678</v>
      </c>
      <c r="V810" s="13">
        <f ca="1"/>
        <v>2.2765005056972356</v>
      </c>
      <c r="W810" s="13">
        <f ca="1"/>
        <v>1.6563777211627948</v>
      </c>
      <c r="X810" s="13">
        <f ca="1"/>
        <v>1.2278287658076401</v>
      </c>
      <c r="Y810" s="13">
        <f ca="1"/>
        <v>3.5879956392920453</v>
      </c>
      <c r="Z810" s="13">
        <f ca="1"/>
        <v>2.6904079408729764</v>
      </c>
      <c r="AA810" s="13">
        <f ca="1"/>
        <v>2.746049467718171</v>
      </c>
      <c r="AB810" s="13">
        <f ca="1"/>
        <v>0.27657488366908467</v>
      </c>
      <c r="AC810" s="13">
        <f ca="1"/>
        <v>2.0082634248487805</v>
      </c>
      <c r="AD810" s="13">
        <f ca="1"/>
        <v>2.2235275315458907</v>
      </c>
      <c r="AE810" s="13">
        <f ca="1"/>
        <v>1.1880888909855942</v>
      </c>
      <c r="AF810" s="13">
        <f ca="1"/>
        <v>2.6202816687340675</v>
      </c>
      <c r="AG810" s="13">
        <f ca="1"/>
        <v>1.8682241293750472</v>
      </c>
      <c r="AH810" s="13">
        <f ca="1"/>
        <v>2.2367725750303991</v>
      </c>
      <c r="AI810" s="13">
        <f ca="1"/>
        <v>1.4030047334968114</v>
      </c>
      <c r="AJ810" s="13">
        <f ca="1"/>
        <v>2.7678872038424656</v>
      </c>
      <c r="AK810" s="13">
        <f ca="1"/>
        <v>-0.70421926963406056</v>
      </c>
      <c r="AL810" s="14">
        <f ca="1"/>
        <v>-0.42108351158206991</v>
      </c>
    </row>
    <row r="811" spans="5:38" ht="24" customHeight="1" x14ac:dyDescent="0.3">
      <c r="O811" s="12">
        <f ca="1"/>
        <v>0.23125994958388851</v>
      </c>
      <c r="P811" s="13">
        <f ca="1"/>
        <v>1.6121451424372013</v>
      </c>
      <c r="Q811" s="13">
        <f ca="1"/>
        <v>0.49649664138165184</v>
      </c>
      <c r="R811" s="13">
        <f ca="1"/>
        <v>0.50626183687539494</v>
      </c>
      <c r="S811" s="13">
        <f ca="1"/>
        <v>2.3272439234174809</v>
      </c>
      <c r="T811" s="13">
        <f ca="1"/>
        <v>1.1962147196269379</v>
      </c>
      <c r="U811" s="13">
        <f ca="1"/>
        <v>-0.22823100468907409</v>
      </c>
      <c r="V811" s="13">
        <f ca="1"/>
        <v>2.4114142367674738</v>
      </c>
      <c r="W811" s="13">
        <f ca="1"/>
        <v>0.14274545816909345</v>
      </c>
      <c r="X811" s="13">
        <f ca="1"/>
        <v>2.6571276330787064</v>
      </c>
      <c r="Y811" s="13">
        <f ca="1"/>
        <v>2.1181752367706843</v>
      </c>
      <c r="Z811" s="13">
        <f ca="1"/>
        <v>0.77162546424629375</v>
      </c>
      <c r="AA811" s="13">
        <f ca="1"/>
        <v>5.829103927275181E-2</v>
      </c>
      <c r="AB811" s="13">
        <f ca="1"/>
        <v>1.6838750149240314</v>
      </c>
      <c r="AC811" s="13">
        <f ca="1"/>
        <v>2.739168707666539</v>
      </c>
      <c r="AD811" s="13">
        <f ca="1"/>
        <v>2.4045358443195877</v>
      </c>
      <c r="AE811" s="13">
        <f ca="1"/>
        <v>1.9588445402701113</v>
      </c>
      <c r="AF811" s="13">
        <f ca="1"/>
        <v>1.1612236192212348</v>
      </c>
      <c r="AG811" s="13">
        <f ca="1"/>
        <v>0.76267668525343302</v>
      </c>
      <c r="AH811" s="13">
        <f ca="1"/>
        <v>0.13642805595843699</v>
      </c>
      <c r="AI811" s="13">
        <f ca="1"/>
        <v>0.9210372764725363</v>
      </c>
      <c r="AJ811" s="13">
        <f ca="1"/>
        <v>1.7953592618986234</v>
      </c>
      <c r="AK811" s="13">
        <f ca="1"/>
        <v>0.78545297337810072</v>
      </c>
      <c r="AL811" s="14">
        <f ca="1"/>
        <v>3.32097712124567</v>
      </c>
    </row>
    <row r="812" spans="5:38" ht="24" customHeight="1" x14ac:dyDescent="0.3">
      <c r="O812" s="12">
        <f ca="1"/>
        <v>1.5432577604478022</v>
      </c>
      <c r="P812" s="13">
        <f ca="1"/>
        <v>1.8076251430167884</v>
      </c>
      <c r="Q812" s="13">
        <f ca="1"/>
        <v>0.88486989634636237</v>
      </c>
      <c r="R812" s="13">
        <f ca="1"/>
        <v>1.3856680976895508</v>
      </c>
      <c r="S812" s="13">
        <f ca="1"/>
        <v>1.1895672243692759</v>
      </c>
      <c r="T812" s="13">
        <f ca="1"/>
        <v>0.55525685275302394</v>
      </c>
      <c r="U812" s="13">
        <f ca="1"/>
        <v>1.1521640874614607</v>
      </c>
      <c r="V812" s="13">
        <f ca="1"/>
        <v>2.3452467877593195</v>
      </c>
      <c r="W812" s="13">
        <f ca="1"/>
        <v>1.3168734745005495</v>
      </c>
      <c r="X812" s="13">
        <f ca="1"/>
        <v>1.6294360778178749</v>
      </c>
      <c r="Y812" s="13">
        <f ca="1"/>
        <v>1.4576836390140593</v>
      </c>
      <c r="Z812" s="13">
        <f ca="1"/>
        <v>2.0463651459842329</v>
      </c>
      <c r="AA812" s="13">
        <f ca="1"/>
        <v>1.6535704487526444</v>
      </c>
      <c r="AB812" s="13">
        <f ca="1"/>
        <v>1.0948834953836628</v>
      </c>
      <c r="AC812" s="13">
        <f ca="1"/>
        <v>1.490288560305383</v>
      </c>
      <c r="AD812" s="13">
        <f ca="1"/>
        <v>2.1797599805765313</v>
      </c>
      <c r="AE812" s="13">
        <f ca="1"/>
        <v>1.9728294782417573</v>
      </c>
      <c r="AF812" s="13">
        <f ca="1"/>
        <v>2.3645311485096787</v>
      </c>
      <c r="AG812" s="13">
        <f ca="1"/>
        <v>0.238127501430488</v>
      </c>
      <c r="AH812" s="13">
        <f ca="1"/>
        <v>1.2272152565686025</v>
      </c>
      <c r="AI812" s="13">
        <f ca="1"/>
        <v>1.4551885322574254</v>
      </c>
      <c r="AJ812" s="13">
        <f ca="1"/>
        <v>1.3854868097702047</v>
      </c>
      <c r="AK812" s="13">
        <f ca="1"/>
        <v>0.25900311784173558</v>
      </c>
      <c r="AL812" s="14">
        <f ca="1"/>
        <v>0.75734973946678985</v>
      </c>
    </row>
    <row r="813" spans="5:38" ht="24" customHeight="1" x14ac:dyDescent="0.3">
      <c r="O813" s="15">
        <f ca="1"/>
        <v>1.2615092718347176</v>
      </c>
      <c r="P813" s="16">
        <f ca="1"/>
        <v>2.0255932522674511</v>
      </c>
      <c r="Q813" s="16">
        <f ca="1"/>
        <v>1.2806039189903022</v>
      </c>
      <c r="R813" s="16">
        <f ca="1"/>
        <v>2.7608576942525893</v>
      </c>
      <c r="S813" s="16">
        <f ca="1"/>
        <v>-0.2160486717259098</v>
      </c>
      <c r="T813" s="16">
        <f ca="1"/>
        <v>1.9401143099790805</v>
      </c>
      <c r="U813" s="16">
        <f ca="1"/>
        <v>2.6971611055959475</v>
      </c>
      <c r="V813" s="16">
        <f ca="1"/>
        <v>0.74013715013072412</v>
      </c>
      <c r="W813" s="16">
        <f ca="1"/>
        <v>2.7966889430513149</v>
      </c>
      <c r="X813" s="16">
        <f ca="1"/>
        <v>0.84975508525823518</v>
      </c>
      <c r="Y813" s="16">
        <f ca="1"/>
        <v>-0.2618458670810484</v>
      </c>
      <c r="Z813" s="16">
        <f ca="1"/>
        <v>2.7140314013475164</v>
      </c>
      <c r="AA813" s="16">
        <f ca="1"/>
        <v>1.0932858090047688</v>
      </c>
      <c r="AB813" s="16">
        <f ca="1"/>
        <v>3.0561269011804413</v>
      </c>
      <c r="AC813" s="16">
        <f ca="1"/>
        <v>0.71961753167691977</v>
      </c>
      <c r="AD813" s="16">
        <f ca="1"/>
        <v>2.7273015464804997</v>
      </c>
      <c r="AE813" s="16">
        <f ca="1"/>
        <v>0.91785311491796229</v>
      </c>
      <c r="AF813" s="16">
        <f ca="1"/>
        <v>0.97392563463508752</v>
      </c>
      <c r="AG813" s="16">
        <f ca="1"/>
        <v>2.6784287229335773</v>
      </c>
      <c r="AH813" s="16">
        <f ca="1"/>
        <v>1.9350776013244091</v>
      </c>
      <c r="AI813" s="16">
        <f ca="1"/>
        <v>-0.17061070553718904</v>
      </c>
      <c r="AJ813" s="16">
        <f ca="1"/>
        <v>0.75048345935036709</v>
      </c>
      <c r="AK813" s="16">
        <f ca="1"/>
        <v>2.6259901177605158</v>
      </c>
      <c r="AL813" s="17">
        <f ca="1"/>
        <v>6.3040932251745563E-2</v>
      </c>
    </row>
    <row r="815" spans="5:38" ht="24" customHeight="1" x14ac:dyDescent="0.3">
      <c r="N815" s="7" t="s">
        <v>202</v>
      </c>
      <c r="O815" s="8">
        <f ca="1">MATCH(LARGE(O806:O813,1),O806:O813,0)</f>
        <v>5</v>
      </c>
      <c r="P815" s="8">
        <f ca="1">MATCH(LARGE(P806:P813,1),P806:P813,0)</f>
        <v>4</v>
      </c>
      <c r="Q815" s="8">
        <f ca="1">MATCH(LARGE(Q806:Q813,1),Q806:Q813,0)</f>
        <v>4</v>
      </c>
      <c r="R815" s="8">
        <f ca="1">MATCH(LARGE(R806:R813,1),R806:R813,0)</f>
        <v>8</v>
      </c>
      <c r="S815" s="8">
        <f ca="1">MATCH(LARGE(S806:S813,1),S806:S813,0)</f>
        <v>3</v>
      </c>
      <c r="T815" s="8">
        <f ca="1">MATCH(LARGE(T806:T813,1),T806:T813,0)</f>
        <v>1</v>
      </c>
      <c r="U815" s="8">
        <f ca="1">MATCH(LARGE(U806:U813,1),U806:U813,0)</f>
        <v>4</v>
      </c>
      <c r="V815" s="8">
        <f ca="1">MATCH(LARGE(V806:V813,1),V806:V813,0)</f>
        <v>6</v>
      </c>
      <c r="W815" s="8">
        <f ca="1">MATCH(LARGE(W806:W813,1),W806:W813,0)</f>
        <v>1</v>
      </c>
      <c r="X815" s="8">
        <f ca="1">MATCH(LARGE(X806:X813,1),X806:X813,0)</f>
        <v>6</v>
      </c>
      <c r="Y815" s="8">
        <f ca="1">MATCH(LARGE(Y806:Y813,1),Y806:Y813,0)</f>
        <v>5</v>
      </c>
      <c r="Z815" s="8">
        <f ca="1">MATCH(LARGE(Z806:Z813,1),Z806:Z813,0)</f>
        <v>8</v>
      </c>
      <c r="AA815" s="8">
        <f ca="1">MATCH(LARGE(AA806:AA813,1),AA806:AA813,0)</f>
        <v>1</v>
      </c>
      <c r="AB815" s="8">
        <f ca="1">MATCH(LARGE(AB806:AB813,1),AB806:AB813,0)</f>
        <v>8</v>
      </c>
      <c r="AC815" s="8">
        <f ca="1">MATCH(LARGE(AC806:AC813,1),AC806:AC813,0)</f>
        <v>6</v>
      </c>
      <c r="AD815" s="8">
        <f ca="1">MATCH(LARGE(AD806:AD813,1),AD806:AD813,0)</f>
        <v>8</v>
      </c>
      <c r="AE815" s="8">
        <f ca="1">MATCH(LARGE(AE806:AE813,1),AE806:AE813,0)</f>
        <v>3</v>
      </c>
      <c r="AF815" s="8">
        <f ca="1">MATCH(LARGE(AF806:AF813,1),AF806:AF813,0)</f>
        <v>5</v>
      </c>
      <c r="AG815" s="8">
        <f ca="1">MATCH(LARGE(AG806:AG813,1),AG806:AG813,0)</f>
        <v>1</v>
      </c>
      <c r="AH815" s="8">
        <f ca="1">MATCH(LARGE(AH806:AH813,1),AH806:AH813,0)</f>
        <v>2</v>
      </c>
      <c r="AI815" s="8">
        <f ca="1">MATCH(LARGE(AI806:AI813,1),AI806:AI813,0)</f>
        <v>3</v>
      </c>
      <c r="AJ815" s="8">
        <f ca="1">MATCH(LARGE(AJ806:AJ813,1),AJ806:AJ813,0)</f>
        <v>5</v>
      </c>
      <c r="AK815" s="8">
        <f ca="1">MATCH(LARGE(AK806:AK813,1),AK806:AK813,0)</f>
        <v>4</v>
      </c>
      <c r="AL815" s="8">
        <f ca="1">MATCH(LARGE(AL806:AL813,1),AL806:AL813,0)</f>
        <v>6</v>
      </c>
    </row>
    <row r="817" spans="4:22" ht="24" customHeight="1" x14ac:dyDescent="0.3">
      <c r="N817" s="7" t="s">
        <v>203</v>
      </c>
      <c r="O817" s="8">
        <f ca="1">COUNTIF(O815:AL815,1)</f>
        <v>4</v>
      </c>
      <c r="P817" s="8">
        <f ca="1">COUNTIF(O815:AL815,2)</f>
        <v>1</v>
      </c>
      <c r="Q817" s="8">
        <f ca="1">COUNTIF(O815:AL815,3)</f>
        <v>3</v>
      </c>
      <c r="R817" s="8">
        <f ca="1">COUNTIF(O815:AL815,4)</f>
        <v>4</v>
      </c>
      <c r="S817" s="8">
        <f ca="1">COUNTIF(O815:AL815,5)</f>
        <v>4</v>
      </c>
      <c r="T817" s="8">
        <f ca="1">COUNTIF(O815:AL815,6)</f>
        <v>4</v>
      </c>
      <c r="U817" s="8">
        <f ca="1">COUNTIF(O815:AL815,7)</f>
        <v>0</v>
      </c>
      <c r="V817" s="8">
        <f ca="1">COUNTIF(O815:AL815,8)</f>
        <v>4</v>
      </c>
    </row>
    <row r="819" spans="4:22" ht="24" customHeight="1" x14ac:dyDescent="0.3">
      <c r="E819" s="8" cm="1">
        <f t="array" aca="1" ref="E819:E826" ca="1">E797:E804+F737*IF(TRANSPOSE(O817:V817)&lt;F733/F735,1,-1)</f>
        <v>0.75</v>
      </c>
      <c r="N819" s="7" t="s">
        <v>204</v>
      </c>
    </row>
    <row r="820" spans="4:22" ht="24" customHeight="1" x14ac:dyDescent="0.3">
      <c r="E820" s="8">
        <f ca="1"/>
        <v>-0.75</v>
      </c>
    </row>
    <row r="821" spans="4:22" ht="24" customHeight="1" x14ac:dyDescent="0.3">
      <c r="E821" s="8">
        <f ca="1"/>
        <v>0.75</v>
      </c>
    </row>
    <row r="822" spans="4:22" ht="24" customHeight="1" x14ac:dyDescent="0.3">
      <c r="E822" s="8">
        <f ca="1"/>
        <v>0.75</v>
      </c>
    </row>
    <row r="823" spans="4:22" ht="24" customHeight="1" x14ac:dyDescent="0.3">
      <c r="E823" s="8">
        <f ca="1"/>
        <v>-2.25</v>
      </c>
    </row>
    <row r="824" spans="4:22" ht="24" customHeight="1" x14ac:dyDescent="0.3">
      <c r="E824" s="8">
        <f ca="1"/>
        <v>0.75</v>
      </c>
    </row>
    <row r="825" spans="4:22" ht="24" customHeight="1" x14ac:dyDescent="0.3">
      <c r="E825" s="8">
        <f ca="1"/>
        <v>2.25</v>
      </c>
    </row>
    <row r="826" spans="4:22" ht="24" customHeight="1" x14ac:dyDescent="0.3">
      <c r="E826" s="8">
        <f ca="1"/>
        <v>-2.25</v>
      </c>
    </row>
    <row r="830" spans="4:22" ht="24" customHeight="1" x14ac:dyDescent="0.3">
      <c r="D830" s="3" t="s">
        <v>205</v>
      </c>
      <c r="O830" s="1" t="s">
        <v>207</v>
      </c>
    </row>
    <row r="831" spans="4:22" ht="24" customHeight="1" x14ac:dyDescent="0.3">
      <c r="D831" s="7" t="s">
        <v>206</v>
      </c>
      <c r="E831" s="18" cm="1">
        <f t="array" aca="1" ref="E831:L838" ca="1">_xlfn.ANCHORARRAY(E744)</f>
        <v>-0.12133070593180273</v>
      </c>
      <c r="F831" s="18">
        <f ca="1"/>
        <v>0.937854112462436</v>
      </c>
      <c r="G831" s="18">
        <f ca="1"/>
        <v>0.91969716312315208</v>
      </c>
      <c r="H831" s="18">
        <f ca="1"/>
        <v>-5.1684612218045878E-2</v>
      </c>
      <c r="I831" s="18">
        <f ca="1"/>
        <v>0.19059000066137477</v>
      </c>
      <c r="J831" s="18">
        <f ca="1"/>
        <v>-0.23465578008544252</v>
      </c>
      <c r="K831" s="18">
        <f ca="1"/>
        <v>0.13521871744395364</v>
      </c>
      <c r="L831" s="18">
        <f ca="1"/>
        <v>0.82246536658477698</v>
      </c>
      <c r="O831" s="8" cm="1">
        <f t="array" aca="1" ref="O831:V838" ca="1">_xlfn.ANCHORARRAY(E744)-_xlfn.ANCHORARRAY(E831)</f>
        <v>0</v>
      </c>
      <c r="P831" s="8">
        <f ca="1"/>
        <v>0</v>
      </c>
      <c r="Q831" s="8">
        <f ca="1"/>
        <v>0</v>
      </c>
      <c r="R831" s="8">
        <f ca="1"/>
        <v>0</v>
      </c>
      <c r="S831" s="8">
        <f ca="1"/>
        <v>0</v>
      </c>
      <c r="T831" s="8">
        <f ca="1"/>
        <v>0</v>
      </c>
      <c r="U831" s="8">
        <f ca="1"/>
        <v>0</v>
      </c>
      <c r="V831" s="8">
        <f ca="1"/>
        <v>0</v>
      </c>
    </row>
    <row r="832" spans="4:22" ht="24" customHeight="1" x14ac:dyDescent="0.3">
      <c r="E832" s="18">
        <f ca="1"/>
        <v>-0.54367309112717921</v>
      </c>
      <c r="F832" s="18">
        <f ca="1"/>
        <v>-0.13965160270314358</v>
      </c>
      <c r="G832" s="18">
        <f ca="1"/>
        <v>1.2077943563955973E-2</v>
      </c>
      <c r="H832" s="18">
        <f ca="1"/>
        <v>-0.66613053332411187</v>
      </c>
      <c r="I832" s="18">
        <f ca="1"/>
        <v>0.62176016777564413</v>
      </c>
      <c r="J832" s="18">
        <f ca="1"/>
        <v>0.49735802509165339</v>
      </c>
      <c r="K832" s="18">
        <f ca="1"/>
        <v>8.8929028025974688E-4</v>
      </c>
      <c r="L832" s="18">
        <f ca="1"/>
        <v>0.39535128320660595</v>
      </c>
      <c r="O832" s="8">
        <f ca="1"/>
        <v>0</v>
      </c>
      <c r="P832" s="8">
        <f ca="1"/>
        <v>0</v>
      </c>
      <c r="Q832" s="8">
        <f ca="1"/>
        <v>0</v>
      </c>
      <c r="R832" s="8">
        <f ca="1"/>
        <v>0</v>
      </c>
      <c r="S832" s="8">
        <f ca="1"/>
        <v>0</v>
      </c>
      <c r="T832" s="8">
        <f ca="1"/>
        <v>0</v>
      </c>
      <c r="U832" s="8">
        <f ca="1"/>
        <v>0</v>
      </c>
      <c r="V832" s="8">
        <f ca="1"/>
        <v>0</v>
      </c>
    </row>
    <row r="833" spans="4:22" ht="24" customHeight="1" x14ac:dyDescent="0.3">
      <c r="E833" s="18">
        <f ca="1"/>
        <v>-0.79851678302311146</v>
      </c>
      <c r="F833" s="18">
        <f ca="1"/>
        <v>3.1246323866088943E-2</v>
      </c>
      <c r="G833" s="18">
        <f ca="1"/>
        <v>-0.4301498214715167</v>
      </c>
      <c r="H833" s="18">
        <f ca="1"/>
        <v>-0.26765808066491203</v>
      </c>
      <c r="I833" s="18">
        <f ca="1"/>
        <v>-0.8249747664429532</v>
      </c>
      <c r="J833" s="18">
        <f ca="1"/>
        <v>-0.21101940576266287</v>
      </c>
      <c r="K833" s="18">
        <f ca="1"/>
        <v>0.60394449970940833</v>
      </c>
      <c r="L833" s="18">
        <f ca="1"/>
        <v>-0.19376362547967974</v>
      </c>
      <c r="O833" s="8">
        <f ca="1"/>
        <v>0</v>
      </c>
      <c r="P833" s="8">
        <f ca="1"/>
        <v>0</v>
      </c>
      <c r="Q833" s="8">
        <f ca="1"/>
        <v>0</v>
      </c>
      <c r="R833" s="8">
        <f ca="1"/>
        <v>0</v>
      </c>
      <c r="S833" s="8">
        <f ca="1"/>
        <v>0</v>
      </c>
      <c r="T833" s="8">
        <f ca="1"/>
        <v>0</v>
      </c>
      <c r="U833" s="8">
        <f ca="1"/>
        <v>0</v>
      </c>
      <c r="V833" s="8">
        <f ca="1"/>
        <v>0</v>
      </c>
    </row>
    <row r="834" spans="4:22" ht="24" customHeight="1" x14ac:dyDescent="0.3">
      <c r="E834" s="18">
        <f ca="1"/>
        <v>-0.62110996774062999</v>
      </c>
      <c r="F834" s="18">
        <f ca="1"/>
        <v>0.47834778896237662</v>
      </c>
      <c r="G834" s="18">
        <f ca="1"/>
        <v>0.70426289269728537</v>
      </c>
      <c r="H834" s="18">
        <f ca="1"/>
        <v>0.21885914140561713</v>
      </c>
      <c r="I834" s="18">
        <f ca="1"/>
        <v>0.24539689405765763</v>
      </c>
      <c r="J834" s="18">
        <f ca="1"/>
        <v>0.36008845949146417</v>
      </c>
      <c r="K834" s="18">
        <f ca="1"/>
        <v>0.43934353879818833</v>
      </c>
      <c r="L834" s="18">
        <f ca="1"/>
        <v>-0.65853781708280179</v>
      </c>
      <c r="O834" s="8">
        <f ca="1"/>
        <v>0</v>
      </c>
      <c r="P834" s="8">
        <f ca="1"/>
        <v>0</v>
      </c>
      <c r="Q834" s="8">
        <f ca="1"/>
        <v>0</v>
      </c>
      <c r="R834" s="8">
        <f ca="1"/>
        <v>0</v>
      </c>
      <c r="S834" s="8">
        <f ca="1"/>
        <v>0</v>
      </c>
      <c r="T834" s="8">
        <f ca="1"/>
        <v>0</v>
      </c>
      <c r="U834" s="8">
        <f ca="1"/>
        <v>0</v>
      </c>
      <c r="V834" s="8">
        <f ca="1"/>
        <v>0</v>
      </c>
    </row>
    <row r="835" spans="4:22" ht="24" customHeight="1" x14ac:dyDescent="0.3">
      <c r="E835" s="18">
        <f ca="1"/>
        <v>0.71791350153818367</v>
      </c>
      <c r="F835" s="18">
        <f ca="1"/>
        <v>0.15681113120502177</v>
      </c>
      <c r="G835" s="18">
        <f ca="1"/>
        <v>-0.44651279155625589</v>
      </c>
      <c r="H835" s="18">
        <f ca="1"/>
        <v>0.32179578934924935</v>
      </c>
      <c r="I835" s="18">
        <f ca="1"/>
        <v>0.84541051365513553</v>
      </c>
      <c r="J835" s="18">
        <f ca="1"/>
        <v>-0.80055788182795373</v>
      </c>
      <c r="K835" s="18">
        <f ca="1"/>
        <v>0.98898986617467877</v>
      </c>
      <c r="L835" s="18">
        <f ca="1"/>
        <v>0.2297984588834634</v>
      </c>
      <c r="O835" s="8">
        <f ca="1"/>
        <v>0</v>
      </c>
      <c r="P835" s="8">
        <f ca="1"/>
        <v>0</v>
      </c>
      <c r="Q835" s="8">
        <f ca="1"/>
        <v>0</v>
      </c>
      <c r="R835" s="8">
        <f ca="1"/>
        <v>0</v>
      </c>
      <c r="S835" s="8">
        <f ca="1"/>
        <v>0</v>
      </c>
      <c r="T835" s="8">
        <f ca="1"/>
        <v>0</v>
      </c>
      <c r="U835" s="8">
        <f ca="1"/>
        <v>0</v>
      </c>
      <c r="V835" s="8">
        <f ca="1"/>
        <v>0</v>
      </c>
    </row>
    <row r="836" spans="4:22" ht="24" customHeight="1" x14ac:dyDescent="0.3">
      <c r="E836" s="18">
        <f ca="1"/>
        <v>1.651250168177576E-4</v>
      </c>
      <c r="F836" s="18">
        <f ca="1"/>
        <v>-0.77904704852136941</v>
      </c>
      <c r="G836" s="18">
        <f ca="1"/>
        <v>-0.69818885198080904</v>
      </c>
      <c r="H836" s="18">
        <f ca="1"/>
        <v>0.40319175644972427</v>
      </c>
      <c r="I836" s="18">
        <f ca="1"/>
        <v>-0.33225008052805505</v>
      </c>
      <c r="J836" s="18">
        <f ca="1"/>
        <v>1.0311474541258914E-2</v>
      </c>
      <c r="K836" s="18">
        <f ca="1"/>
        <v>-0.57531129382663293</v>
      </c>
      <c r="L836" s="18">
        <f ca="1"/>
        <v>0.94479862609318976</v>
      </c>
      <c r="O836" s="8">
        <f ca="1"/>
        <v>0</v>
      </c>
      <c r="P836" s="8">
        <f ca="1"/>
        <v>0</v>
      </c>
      <c r="Q836" s="8">
        <f ca="1"/>
        <v>0</v>
      </c>
      <c r="R836" s="8">
        <f ca="1"/>
        <v>0</v>
      </c>
      <c r="S836" s="8">
        <f ca="1"/>
        <v>0</v>
      </c>
      <c r="T836" s="8">
        <f ca="1"/>
        <v>0</v>
      </c>
      <c r="U836" s="8">
        <f ca="1"/>
        <v>0</v>
      </c>
      <c r="V836" s="8">
        <f ca="1"/>
        <v>0</v>
      </c>
    </row>
    <row r="837" spans="4:22" ht="24" customHeight="1" x14ac:dyDescent="0.3">
      <c r="E837" s="18">
        <f ca="1"/>
        <v>0.7008337539851941</v>
      </c>
      <c r="F837" s="18">
        <f ca="1"/>
        <v>-9.3863536727953889E-2</v>
      </c>
      <c r="G837" s="18">
        <f ca="1"/>
        <v>-0.62730611960463989</v>
      </c>
      <c r="H837" s="18">
        <f ca="1"/>
        <v>0.35467329353792509</v>
      </c>
      <c r="I837" s="18">
        <f ca="1"/>
        <v>0.63101879095851965</v>
      </c>
      <c r="J837" s="18">
        <f ca="1"/>
        <v>0.10215261980644286</v>
      </c>
      <c r="K837" s="18">
        <f ca="1"/>
        <v>0.11623698517767345</v>
      </c>
      <c r="L837" s="18">
        <f ca="1"/>
        <v>-0.39145116416185033</v>
      </c>
      <c r="O837" s="8">
        <f ca="1"/>
        <v>0</v>
      </c>
      <c r="P837" s="8">
        <f ca="1"/>
        <v>0</v>
      </c>
      <c r="Q837" s="8">
        <f ca="1"/>
        <v>0</v>
      </c>
      <c r="R837" s="8">
        <f ca="1"/>
        <v>0</v>
      </c>
      <c r="S837" s="8">
        <f ca="1"/>
        <v>0</v>
      </c>
      <c r="T837" s="8">
        <f ca="1"/>
        <v>0</v>
      </c>
      <c r="U837" s="8">
        <f ca="1"/>
        <v>0</v>
      </c>
      <c r="V837" s="8">
        <f ca="1"/>
        <v>0</v>
      </c>
    </row>
    <row r="838" spans="4:22" ht="24" customHeight="1" x14ac:dyDescent="0.3">
      <c r="E838" s="18">
        <f ca="1"/>
        <v>-0.11427249666604977</v>
      </c>
      <c r="F838" s="18">
        <f ca="1"/>
        <v>-0.68924104766658711</v>
      </c>
      <c r="G838" s="18">
        <f ca="1"/>
        <v>0.90275214350016597</v>
      </c>
      <c r="H838" s="18">
        <f ca="1"/>
        <v>0.29732416570315001</v>
      </c>
      <c r="I838" s="18">
        <f ca="1"/>
        <v>0.45943088487779438</v>
      </c>
      <c r="J838" s="18">
        <f ca="1"/>
        <v>-0.65388855856312311</v>
      </c>
      <c r="K838" s="18">
        <f ca="1"/>
        <v>-0.49600312171201422</v>
      </c>
      <c r="L838" s="18">
        <f ca="1"/>
        <v>-0.41042969313148037</v>
      </c>
      <c r="O838" s="8">
        <f ca="1"/>
        <v>0</v>
      </c>
      <c r="P838" s="8">
        <f ca="1"/>
        <v>0</v>
      </c>
      <c r="Q838" s="8">
        <f ca="1"/>
        <v>0</v>
      </c>
      <c r="R838" s="8">
        <f ca="1"/>
        <v>0</v>
      </c>
      <c r="S838" s="8">
        <f ca="1"/>
        <v>0</v>
      </c>
      <c r="T838" s="8">
        <f ca="1"/>
        <v>0</v>
      </c>
      <c r="U838" s="8">
        <f ca="1"/>
        <v>0</v>
      </c>
      <c r="V838" s="8">
        <f ca="1"/>
        <v>0</v>
      </c>
    </row>
    <row r="840" spans="4:22" ht="24" customHeight="1" x14ac:dyDescent="0.3">
      <c r="D840" s="1" t="s">
        <v>208</v>
      </c>
    </row>
    <row r="841" spans="4:22" ht="24" customHeight="1" x14ac:dyDescent="0.3">
      <c r="D841" s="1" t="s">
        <v>209</v>
      </c>
    </row>
    <row r="860" spans="1:54" ht="48" customHeight="1" thickBot="1" x14ac:dyDescent="0.95">
      <c r="A860" s="5" t="s">
        <v>210</v>
      </c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</row>
    <row r="861" spans="1:54" ht="24" customHeight="1" thickTop="1" x14ac:dyDescent="0.3"/>
    <row r="863" spans="1:54" ht="24" customHeight="1" x14ac:dyDescent="0.3">
      <c r="E863" s="7" t="s">
        <v>4</v>
      </c>
      <c r="F863" s="8">
        <v>6</v>
      </c>
      <c r="N863" s="7" t="s">
        <v>8</v>
      </c>
      <c r="O863" s="8" cm="1">
        <f t="array" ref="O863:T863">_xlfn.SEQUENCE(1,F863,1)</f>
        <v>1</v>
      </c>
      <c r="P863" s="8">
        <v>2</v>
      </c>
      <c r="Q863" s="8">
        <v>3</v>
      </c>
      <c r="R863" s="8">
        <v>4</v>
      </c>
      <c r="S863" s="8">
        <v>5</v>
      </c>
      <c r="T863" s="8">
        <v>6</v>
      </c>
    </row>
    <row r="864" spans="1:54" ht="24" customHeight="1" x14ac:dyDescent="0.3">
      <c r="E864" s="7" t="s">
        <v>5</v>
      </c>
      <c r="F864" s="8">
        <v>8</v>
      </c>
    </row>
    <row r="865" spans="4:20" ht="24" customHeight="1" x14ac:dyDescent="0.3">
      <c r="E865" s="7" t="s">
        <v>6</v>
      </c>
      <c r="F865" s="8">
        <v>4</v>
      </c>
      <c r="O865" s="8" t="str" cm="1">
        <f t="array" ref="O865:T865">"x"&amp;_xlfn.ANCHORARRAY(O863)</f>
        <v>x1</v>
      </c>
      <c r="P865" s="8" t="str">
        <v>x2</v>
      </c>
      <c r="Q865" s="8" t="str">
        <v>x3</v>
      </c>
      <c r="R865" s="8" t="str">
        <v>x4</v>
      </c>
      <c r="S865" s="8" t="str">
        <v>x5</v>
      </c>
      <c r="T865" s="8" t="str">
        <v>x6</v>
      </c>
    </row>
    <row r="866" spans="4:20" ht="24" customHeight="1" x14ac:dyDescent="0.3">
      <c r="E866" s="7" t="s">
        <v>133</v>
      </c>
      <c r="F866" s="8">
        <v>6</v>
      </c>
      <c r="N866" s="7" t="s">
        <v>9</v>
      </c>
      <c r="O866" s="9" cm="1">
        <f t="array" aca="1" ref="O866:T873" ca="1">(_xlfn.RANDARRAY(F864,F863)-0.5)*2</f>
        <v>-0.64989199079567417</v>
      </c>
      <c r="P866" s="10">
        <f ca="1"/>
        <v>0.60761383855628504</v>
      </c>
      <c r="Q866" s="10">
        <f ca="1"/>
        <v>7.5111129296669965E-2</v>
      </c>
      <c r="R866" s="10">
        <f ca="1"/>
        <v>-0.86829631089850778</v>
      </c>
      <c r="S866" s="10">
        <f ca="1"/>
        <v>-0.51665130268226456</v>
      </c>
      <c r="T866" s="11">
        <f ca="1"/>
        <v>0.82683403577437709</v>
      </c>
    </row>
    <row r="867" spans="4:20" ht="24" customHeight="1" x14ac:dyDescent="0.3">
      <c r="E867" s="7" t="s">
        <v>134</v>
      </c>
      <c r="F867" s="8">
        <v>8</v>
      </c>
      <c r="O867" s="12">
        <f ca="1"/>
        <v>0.54871241672578375</v>
      </c>
      <c r="P867" s="13">
        <f ca="1"/>
        <v>0.2861554349062394</v>
      </c>
      <c r="Q867" s="13">
        <f ca="1"/>
        <v>0.71170521211636961</v>
      </c>
      <c r="R867" s="13">
        <f ca="1"/>
        <v>-0.58333033656365529</v>
      </c>
      <c r="S867" s="13">
        <f ca="1"/>
        <v>-0.38079043589585249</v>
      </c>
      <c r="T867" s="14">
        <f ca="1"/>
        <v>0.65194411983974421</v>
      </c>
    </row>
    <row r="868" spans="4:20" ht="24" customHeight="1" x14ac:dyDescent="0.3">
      <c r="E868" s="7" t="s">
        <v>135</v>
      </c>
      <c r="F868" s="8">
        <v>2</v>
      </c>
      <c r="O868" s="12">
        <f ca="1"/>
        <v>-0.1119123528495285</v>
      </c>
      <c r="P868" s="13">
        <f ca="1"/>
        <v>-0.42634450970253601</v>
      </c>
      <c r="Q868" s="13">
        <f ca="1"/>
        <v>0.78057268368191091</v>
      </c>
      <c r="R868" s="13">
        <f ca="1"/>
        <v>0.31345285314861826</v>
      </c>
      <c r="S868" s="13">
        <f ca="1"/>
        <v>0.5223660112269406</v>
      </c>
      <c r="T868" s="14">
        <f ca="1"/>
        <v>0.87780798260469872</v>
      </c>
    </row>
    <row r="869" spans="4:20" ht="24" customHeight="1" x14ac:dyDescent="0.3">
      <c r="E869" s="7" t="s">
        <v>211</v>
      </c>
      <c r="F869" s="28">
        <v>9.9999999999999995E-7</v>
      </c>
      <c r="O869" s="12">
        <f ca="1"/>
        <v>0.41803867455396171</v>
      </c>
      <c r="P869" s="13">
        <f ca="1"/>
        <v>-0.99363278557110046</v>
      </c>
      <c r="Q869" s="13">
        <f ca="1"/>
        <v>-0.10086269709779971</v>
      </c>
      <c r="R869" s="13">
        <f ca="1"/>
        <v>-0.38673618114433284</v>
      </c>
      <c r="S869" s="13">
        <f ca="1"/>
        <v>0.15582670132282539</v>
      </c>
      <c r="T869" s="14">
        <f ca="1"/>
        <v>-0.71051529626883481</v>
      </c>
    </row>
    <row r="870" spans="4:20" ht="24" customHeight="1" x14ac:dyDescent="0.3">
      <c r="E870" s="7" t="s">
        <v>212</v>
      </c>
      <c r="F870" s="28">
        <v>1E-4</v>
      </c>
      <c r="O870" s="12">
        <f ca="1"/>
        <v>0.87129274720939653</v>
      </c>
      <c r="P870" s="13">
        <f ca="1"/>
        <v>0.67719818993460335</v>
      </c>
      <c r="Q870" s="13">
        <f ca="1"/>
        <v>0.61972842567723108</v>
      </c>
      <c r="R870" s="13">
        <f ca="1"/>
        <v>-0.74552820136950881</v>
      </c>
      <c r="S870" s="13">
        <f ca="1"/>
        <v>0.41622253520537855</v>
      </c>
      <c r="T870" s="14">
        <f ca="1"/>
        <v>0.17228863295496444</v>
      </c>
    </row>
    <row r="871" spans="4:20" ht="24" customHeight="1" x14ac:dyDescent="0.3">
      <c r="E871" s="7" t="s">
        <v>169</v>
      </c>
      <c r="F871" s="8">
        <v>0.75</v>
      </c>
      <c r="O871" s="12">
        <f ca="1"/>
        <v>0.10232967148847649</v>
      </c>
      <c r="P871" s="13">
        <f ca="1"/>
        <v>-9.8647895902207239E-2</v>
      </c>
      <c r="Q871" s="13">
        <f ca="1"/>
        <v>1.6536864963188513E-2</v>
      </c>
      <c r="R871" s="13">
        <f ca="1"/>
        <v>-0.35188732300035674</v>
      </c>
      <c r="S871" s="13">
        <f ca="1"/>
        <v>-0.42894656234724504</v>
      </c>
      <c r="T871" s="14">
        <f ca="1"/>
        <v>-0.99877299334106295</v>
      </c>
    </row>
    <row r="872" spans="4:20" ht="24" customHeight="1" x14ac:dyDescent="0.3">
      <c r="O872" s="12">
        <f ca="1"/>
        <v>0.85807947306739907</v>
      </c>
      <c r="P872" s="13">
        <f ca="1"/>
        <v>0.9373109867595586</v>
      </c>
      <c r="Q872" s="13">
        <f ca="1"/>
        <v>0.60938133037050024</v>
      </c>
      <c r="R872" s="13">
        <f ca="1"/>
        <v>0.6575099597685794</v>
      </c>
      <c r="S872" s="13">
        <f ca="1"/>
        <v>-0.30222134661228761</v>
      </c>
      <c r="T872" s="14">
        <f ca="1"/>
        <v>0.52693270271696413</v>
      </c>
    </row>
    <row r="873" spans="4:20" ht="24" customHeight="1" x14ac:dyDescent="0.3">
      <c r="O873" s="15">
        <f ca="1"/>
        <v>-0.86662065585486081</v>
      </c>
      <c r="P873" s="16">
        <f ca="1"/>
        <v>-0.44913365292990415</v>
      </c>
      <c r="Q873" s="16">
        <f ca="1"/>
        <v>0.44823448965788915</v>
      </c>
      <c r="R873" s="16">
        <f ca="1"/>
        <v>0.5327234535173786</v>
      </c>
      <c r="S873" s="16">
        <f ca="1"/>
        <v>-0.69864967314220117</v>
      </c>
      <c r="T873" s="17">
        <f ca="1"/>
        <v>0.92910687192664598</v>
      </c>
    </row>
    <row r="875" spans="4:20" ht="24" customHeight="1" x14ac:dyDescent="0.3">
      <c r="D875" s="3" t="s">
        <v>213</v>
      </c>
    </row>
    <row r="876" spans="4:20" ht="24" customHeight="1" x14ac:dyDescent="0.3">
      <c r="N876" s="7" t="s">
        <v>214</v>
      </c>
      <c r="O876" s="19" cm="1">
        <f t="array" aca="1" ref="O876:T876" ca="1">SQRT(MMULT(TRANSPOSE(_xlfn.SEQUENCE(F864,1,1,0)),_xlfn.ANCHORARRAY(O866)*_xlfn.ANCHORARRAY(O866))/F864+F869)</f>
        <v>0.62925429879075279</v>
      </c>
      <c r="P876" s="20">
        <f ca="1"/>
        <v>0.62936128169336636</v>
      </c>
      <c r="Q876" s="20">
        <f ca="1"/>
        <v>0.51091065044342998</v>
      </c>
      <c r="R876" s="20">
        <f ca="1"/>
        <v>0.58499881861809244</v>
      </c>
      <c r="S876" s="20">
        <f ca="1"/>
        <v>0.45356526479872389</v>
      </c>
      <c r="T876" s="21">
        <f ca="1"/>
        <v>0.75433754186968283</v>
      </c>
    </row>
    <row r="879" spans="4:20" ht="24" customHeight="1" x14ac:dyDescent="0.3">
      <c r="D879" s="7" t="s">
        <v>215</v>
      </c>
      <c r="E879" s="18" cm="1">
        <f t="array" aca="1" ref="E879:E886" ca="1">_xlfn.RANDARRAY(F864,1)*0.5+0.75</f>
        <v>1.2178286340407902</v>
      </c>
      <c r="N879" s="7" t="s">
        <v>216</v>
      </c>
      <c r="O879" s="9" cm="1">
        <f t="array" aca="1" ref="O879:T886" ca="1">_xlfn.ANCHORARRAY(O866)/_xlfn.ANCHORARRAY(O876)*_xlfn.ANCHORARRAY(E879)</f>
        <v>-1.2577698347801523</v>
      </c>
      <c r="P879" s="10">
        <f ca="1"/>
        <v>1.1757468286614512</v>
      </c>
      <c r="Q879" s="10">
        <f ca="1"/>
        <v>0.17903812322807108</v>
      </c>
      <c r="R879" s="10">
        <f ca="1"/>
        <v>-1.807586744776861</v>
      </c>
      <c r="S879" s="10">
        <f ca="1"/>
        <v>-1.3872154661141225</v>
      </c>
      <c r="T879" s="11">
        <f ca="1"/>
        <v>1.3348694827911667</v>
      </c>
    </row>
    <row r="880" spans="4:20" ht="24" customHeight="1" x14ac:dyDescent="0.3">
      <c r="E880" s="18">
        <f ca="1"/>
        <v>1.0470814771039589</v>
      </c>
      <c r="O880" s="12">
        <f ca="1"/>
        <v>0.91305948789643765</v>
      </c>
      <c r="P880" s="13">
        <f ca="1"/>
        <v>0.4760827591058166</v>
      </c>
      <c r="Q880" s="13">
        <f ca="1"/>
        <v>1.4585981797768524</v>
      </c>
      <c r="R880" s="13">
        <f ca="1"/>
        <v>-1.0440950836301937</v>
      </c>
      <c r="S880" s="13">
        <f ca="1"/>
        <v>-0.87907660270639709</v>
      </c>
      <c r="T880" s="14">
        <f ca="1"/>
        <v>0.9049511314246248</v>
      </c>
    </row>
    <row r="881" spans="4:54" ht="24" customHeight="1" x14ac:dyDescent="0.3">
      <c r="E881" s="18">
        <f ca="1"/>
        <v>1.1204545011084854</v>
      </c>
      <c r="O881" s="12">
        <f ca="1"/>
        <v>-0.19927189964512634</v>
      </c>
      <c r="P881" s="13">
        <f ca="1"/>
        <v>-0.75902289958764702</v>
      </c>
      <c r="Q881" s="13">
        <f ca="1"/>
        <v>1.7118378254879729</v>
      </c>
      <c r="R881" s="13">
        <f ca="1"/>
        <v>0.60035960589682535</v>
      </c>
      <c r="S881" s="13">
        <f ca="1"/>
        <v>1.2904148397806454</v>
      </c>
      <c r="T881" s="14">
        <f ca="1"/>
        <v>1.3038511947590539</v>
      </c>
    </row>
    <row r="882" spans="4:54" ht="24" customHeight="1" x14ac:dyDescent="0.3">
      <c r="E882" s="18">
        <f ca="1"/>
        <v>0.76840615047625405</v>
      </c>
      <c r="O882" s="12">
        <f ca="1"/>
        <v>0.51048278777197897</v>
      </c>
      <c r="P882" s="13">
        <f ca="1"/>
        <v>-1.2131562044830093</v>
      </c>
      <c r="Q882" s="13">
        <f ca="1"/>
        <v>-0.15169681183256956</v>
      </c>
      <c r="R882" s="13">
        <f ca="1"/>
        <v>-0.50798471850762361</v>
      </c>
      <c r="S882" s="13">
        <f ca="1"/>
        <v>0.26399331032992751</v>
      </c>
      <c r="T882" s="14">
        <f ca="1"/>
        <v>-0.72376660759481293</v>
      </c>
    </row>
    <row r="883" spans="4:54" ht="24" customHeight="1" x14ac:dyDescent="0.3">
      <c r="E883" s="18">
        <f ca="1"/>
        <v>0.89713546020081192</v>
      </c>
      <c r="O883" s="12">
        <f ca="1"/>
        <v>1.2422126018677566</v>
      </c>
      <c r="P883" s="13">
        <f ca="1"/>
        <v>0.96532552517289816</v>
      </c>
      <c r="Q883" s="13">
        <f ca="1"/>
        <v>1.0882144380566747</v>
      </c>
      <c r="R883" s="13">
        <f ca="1"/>
        <v>-1.143318182433732</v>
      </c>
      <c r="S883" s="13">
        <f ca="1"/>
        <v>0.82327291053280083</v>
      </c>
      <c r="T883" s="14">
        <f ca="1"/>
        <v>0.20490328723440787</v>
      </c>
    </row>
    <row r="884" spans="4:54" ht="24" customHeight="1" x14ac:dyDescent="0.3">
      <c r="E884" s="18">
        <f ca="1"/>
        <v>0.86742293871549669</v>
      </c>
      <c r="O884" s="12">
        <f ca="1"/>
        <v>0.14106078342397188</v>
      </c>
      <c r="P884" s="13">
        <f ca="1"/>
        <v>-0.13596236414696328</v>
      </c>
      <c r="Q884" s="13">
        <f ca="1"/>
        <v>2.8076251671521158E-2</v>
      </c>
      <c r="R884" s="13">
        <f ca="1"/>
        <v>-0.52177051662213147</v>
      </c>
      <c r="S884" s="13">
        <f ca="1"/>
        <v>-0.82034079004765126</v>
      </c>
      <c r="T884" s="14">
        <f ca="1"/>
        <v>-1.1485025693487858</v>
      </c>
    </row>
    <row r="885" spans="4:54" ht="24" customHeight="1" x14ac:dyDescent="0.3">
      <c r="E885" s="18">
        <f ca="1"/>
        <v>1.240970359019878</v>
      </c>
      <c r="O885" s="12">
        <f ca="1"/>
        <v>1.6922430149565573</v>
      </c>
      <c r="P885" s="13">
        <f ca="1"/>
        <v>1.8481835244497939</v>
      </c>
      <c r="Q885" s="13">
        <f ca="1"/>
        <v>1.480149548014996</v>
      </c>
      <c r="R885" s="13">
        <f ca="1"/>
        <v>1.3947897754060941</v>
      </c>
      <c r="S885" s="13">
        <f ca="1"/>
        <v>-0.82688812860339822</v>
      </c>
      <c r="T885" s="14">
        <f ca="1"/>
        <v>0.86686374331738192</v>
      </c>
    </row>
    <row r="886" spans="4:54" ht="24" customHeight="1" x14ac:dyDescent="0.3">
      <c r="E886" s="18">
        <f ca="1"/>
        <v>1.1173321046639817</v>
      </c>
      <c r="O886" s="15">
        <f ca="1"/>
        <v>-1.538810435164915</v>
      </c>
      <c r="P886" s="16">
        <f ca="1"/>
        <v>-0.79736625734801936</v>
      </c>
      <c r="Q886" s="16">
        <f ca="1"/>
        <v>0.98026295846006928</v>
      </c>
      <c r="R886" s="16">
        <f ca="1"/>
        <v>1.0174875548099587</v>
      </c>
      <c r="S886" s="16">
        <f ca="1"/>
        <v>-1.7210835359299206</v>
      </c>
      <c r="T886" s="17">
        <f ca="1"/>
        <v>1.3762021363732029</v>
      </c>
    </row>
    <row r="889" spans="4:54" ht="24" customHeight="1" x14ac:dyDescent="0.3">
      <c r="D889" s="3" t="s">
        <v>217</v>
      </c>
      <c r="V889" s="1" t="s">
        <v>17</v>
      </c>
      <c r="AB889" s="1" t="s">
        <v>221</v>
      </c>
      <c r="AI889" s="1" t="s">
        <v>222</v>
      </c>
      <c r="AP889" s="1" t="s">
        <v>223</v>
      </c>
      <c r="AW889" s="1" t="s">
        <v>226</v>
      </c>
    </row>
    <row r="890" spans="4:54" ht="24" customHeight="1" x14ac:dyDescent="0.3">
      <c r="D890" s="7" t="s">
        <v>11</v>
      </c>
      <c r="E890" s="18" cm="1">
        <f t="array" aca="1" ref="E890:L893" ca="1">(_xlfn.RANDARRAY(F865,F864)-0.5)*2</f>
        <v>0.44242737925979325</v>
      </c>
      <c r="F890" s="18">
        <f ca="1"/>
        <v>0.71545658809373514</v>
      </c>
      <c r="G890" s="18">
        <f ca="1"/>
        <v>-0.39467947925649183</v>
      </c>
      <c r="H890" s="18">
        <f ca="1"/>
        <v>0.70049668147671129</v>
      </c>
      <c r="I890" s="18">
        <f ca="1"/>
        <v>0.32756129090320441</v>
      </c>
      <c r="J890" s="18">
        <f ca="1"/>
        <v>0.44394288702020912</v>
      </c>
      <c r="K890" s="18">
        <f ca="1"/>
        <v>-0.11445434463955939</v>
      </c>
      <c r="L890" s="18">
        <f ca="1"/>
        <v>0.98412441135984041</v>
      </c>
      <c r="N890" s="7" t="s">
        <v>218</v>
      </c>
      <c r="O890" s="9" cm="1">
        <f t="array" aca="1" ref="O890:T893" ca="1">MMULT(_xlfn.ANCHORARRAY(E890),_xlfn.ANCHORARRAY(O879))</f>
        <v>-0.70551914147534101</v>
      </c>
      <c r="P890" s="10">
        <f ca="1"/>
        <v>-0.42983848005582592</v>
      </c>
      <c r="Q890" s="10">
        <f ca="1"/>
        <v>1.5050970087546816</v>
      </c>
      <c r="R890" s="10">
        <f ca="1"/>
        <v>-1.9039702966064347</v>
      </c>
      <c r="S890" s="10">
        <f ca="1"/>
        <v>-3.2606885733412261</v>
      </c>
      <c r="T890" s="11">
        <f ca="1"/>
        <v>1.028823273073749</v>
      </c>
      <c r="W890" s="9" cm="1">
        <f t="array" aca="1" ref="W890:Z895" ca="1">TRANSPOSE(_xlfn.ANCHORARRAY(O895))</f>
        <v>-0.22018132470738166</v>
      </c>
      <c r="X890" s="10">
        <f ca="1"/>
        <v>0.88510485564981745</v>
      </c>
      <c r="Y890" s="10">
        <f ca="1"/>
        <v>2.8041077204767229</v>
      </c>
      <c r="Z890" s="11">
        <f ca="1"/>
        <v>-3.0466895609920859</v>
      </c>
      <c r="AB890" s="9" cm="1">
        <f t="array" aca="1" ref="AB890:AG895" ca="1">MMULT(_xlfn.ANCHORARRAY(W890),_xlfn.ANCHORARRAY(O890))/SQRT(F865)</f>
        <v>1.7445384318714785E-2</v>
      </c>
      <c r="AC890" s="10">
        <f ca="1"/>
        <v>3.2547425478142156</v>
      </c>
      <c r="AD890" s="10">
        <f ca="1"/>
        <v>2.1499926354745664</v>
      </c>
      <c r="AE890" s="10">
        <f ca="1"/>
        <v>-4.7131276083569498</v>
      </c>
      <c r="AF890" s="10">
        <f ca="1"/>
        <v>-5.3311043903942537</v>
      </c>
      <c r="AG890" s="11">
        <f ca="1"/>
        <v>3.360939340854082</v>
      </c>
      <c r="AI890" s="9" cm="1">
        <f t="array" aca="1" ref="AI890:AI895" ca="1">_xlfn.LET(_xlpm.z,AB890:AB895,_xlpm.m,IF(_xlfn.SEQUENCE(F863,1)&lt;=1,1,0),_xlpm.m*EXP(_xlpm.z)/SUM(_xlpm.m*EXP(_xlpm.z)))</f>
        <v>1</v>
      </c>
      <c r="AJ890" s="10" cm="1">
        <f t="array" aca="1" ref="AJ890:AJ895" ca="1">_xlfn.LET(_xlpm.z,AC890:AC895,_xlpm.m,IF(_xlfn.SEQUENCE(F863,1)&lt;=2,1,0),_xlpm.m*EXP(_xlpm.z)/SUM(_xlpm.m*EXP(_xlpm.z)))</f>
        <v>0.97273673975561714</v>
      </c>
      <c r="AK890" s="10" cm="1">
        <f t="array" aca="1" ref="AK890:AK895" ca="1">_xlfn.LET(_xlpm.z,AD890:AD895,_xlpm.m,IF(_xlfn.SEQUENCE(F863,1)&lt;=3,1,0),_xlpm.m*EXP(_xlpm.z)/SUM(_xlpm.m*EXP(_xlpm.z)))</f>
        <v>0.85649060053301362</v>
      </c>
      <c r="AL890" s="10" cm="1">
        <f t="array" aca="1" ref="AL890:AL895" ca="1">_xlfn.LET(_xlpm.z,AE890:AE895,_xlpm.m,IF(_xlfn.SEQUENCE(F863,1)&lt;=4,1,0),_xlpm.m*EXP(_xlpm.z)/SUM(_xlpm.m*EXP(_xlpm.z)))</f>
        <v>4.692422361176587E-5</v>
      </c>
      <c r="AM890" s="10" cm="1">
        <f t="array" aca="1" ref="AM890:AM895" ca="1">_xlfn.LET(_xlpm.z,AF890:AF895,_xlpm.m,IF(_xlfn.SEQUENCE(F863,1)&lt;=5,1,0),_xlpm.m*EXP(_xlpm.z)/SUM(_xlpm.m*EXP(_xlpm.z)))</f>
        <v>6.9631198208139146E-6</v>
      </c>
      <c r="AN890" s="11" cm="1">
        <f t="array" aca="1" ref="AN890:AN895" ca="1">_xlfn.LET(_xlpm.z,AG890:AG895,_xlpm.m,IF(_xlfn.SEQUENCE(F863,1)&lt;=6,1,0),_xlpm.m*EXP(_xlpm.z)/SUM(_xlpm.m*EXP(_xlpm.z)))</f>
        <v>0.94230440093733181</v>
      </c>
      <c r="AP890" s="9" cm="1">
        <f t="array" aca="1" ref="AP890:AU893" ca="1">MMULT(_xlfn.ANCHORARRAY(O900),AI890:AN895)</f>
        <v>-0.74532480215519947</v>
      </c>
      <c r="AQ890" s="10">
        <f ca="1"/>
        <v>-0.76392081754416141</v>
      </c>
      <c r="AR890" s="10">
        <f ca="1"/>
        <v>-0.66053716089590075</v>
      </c>
      <c r="AS890" s="10">
        <f ca="1"/>
        <v>3.5965814691742199</v>
      </c>
      <c r="AT890" s="10">
        <f ca="1"/>
        <v>1.5016797391916845</v>
      </c>
      <c r="AU890" s="11">
        <f ca="1"/>
        <v>-0.53630930093897866</v>
      </c>
      <c r="AW890" s="9" cm="1">
        <f t="array" aca="1" ref="AW890:BB897" ca="1">_xlfn.ANCHORARRAY(O866)+_xlfn.ANCHORARRAY(O905)</f>
        <v>-1.7645206503909792</v>
      </c>
      <c r="AX890" s="10">
        <f ca="1"/>
        <v>-0.52471651252388885</v>
      </c>
      <c r="AY890" s="10">
        <f ca="1"/>
        <v>-0.46057702144489754</v>
      </c>
      <c r="AZ890" s="10">
        <f ca="1"/>
        <v>3.0665437352701743</v>
      </c>
      <c r="BA890" s="10">
        <f ca="1"/>
        <v>1.3749955291879896</v>
      </c>
      <c r="BB890" s="11">
        <f ca="1"/>
        <v>-3.735420673901757E-2</v>
      </c>
    </row>
    <row r="891" spans="4:54" ht="24" customHeight="1" x14ac:dyDescent="0.3">
      <c r="E891" s="18">
        <f ca="1"/>
        <v>0.79746620089946108</v>
      </c>
      <c r="F891" s="18">
        <f ca="1"/>
        <v>-0.96089906020544369</v>
      </c>
      <c r="G891" s="18">
        <f ca="1"/>
        <v>-0.27442382876163451</v>
      </c>
      <c r="H891" s="18">
        <f ca="1"/>
        <v>0.16449420140489135</v>
      </c>
      <c r="I891" s="18">
        <f ca="1"/>
        <v>-0.72552703810629815</v>
      </c>
      <c r="J891" s="18">
        <f ca="1"/>
        <v>-0.34923596801201517</v>
      </c>
      <c r="K891" s="18">
        <f ca="1"/>
        <v>0.21104185582774981</v>
      </c>
      <c r="L891" s="18">
        <f ca="1"/>
        <v>0.96331643873415063</v>
      </c>
      <c r="O891" s="12">
        <f ca="1"/>
        <v>-3.8174801302897792</v>
      </c>
      <c r="P891" s="13">
        <f ca="1"/>
        <v>-0.54207107366192786</v>
      </c>
      <c r="Q891" s="13">
        <f ca="1"/>
        <v>-1.2961684097415305</v>
      </c>
      <c r="R891" s="13">
        <f ca="1"/>
        <v>1.5997179246051192</v>
      </c>
      <c r="S891" s="13">
        <f ca="1"/>
        <v>-2.7155190927046822</v>
      </c>
      <c r="T891" s="14">
        <f ca="1"/>
        <v>1.479181561913518</v>
      </c>
      <c r="W891" s="12">
        <f ca="1"/>
        <v>-0.43807966937138187</v>
      </c>
      <c r="X891" s="13">
        <f ca="1"/>
        <v>2.177683106356759</v>
      </c>
      <c r="Y891" s="13">
        <f ca="1"/>
        <v>-1.3023261702099123</v>
      </c>
      <c r="Z891" s="14">
        <f ca="1"/>
        <v>-1.4196239171762628</v>
      </c>
      <c r="AB891" s="12">
        <f ca="1"/>
        <v>-3.1650805709852468</v>
      </c>
      <c r="AC891" s="13">
        <f ca="1"/>
        <v>-0.31983091502550831</v>
      </c>
      <c r="AD891" s="13">
        <f ca="1"/>
        <v>-3.7365346472804282</v>
      </c>
      <c r="AE891" s="13">
        <f ca="1"/>
        <v>2.4748798099430798</v>
      </c>
      <c r="AF891" s="13">
        <f ca="1"/>
        <v>-2.4667940641349038</v>
      </c>
      <c r="AG891" s="14">
        <f ca="1"/>
        <v>-1.52195827214138</v>
      </c>
      <c r="AI891" s="12">
        <f ca="1"/>
        <v>0</v>
      </c>
      <c r="AJ891" s="13">
        <f ca="1"/>
        <v>2.7263260244382793E-2</v>
      </c>
      <c r="AK891" s="13">
        <f ca="1"/>
        <v>2.3781337957625285E-3</v>
      </c>
      <c r="AL891" s="13">
        <f ca="1"/>
        <v>6.2102495688524578E-2</v>
      </c>
      <c r="AM891" s="13">
        <f ca="1"/>
        <v>1.221119137770869E-4</v>
      </c>
      <c r="AN891" s="14">
        <f ca="1"/>
        <v>7.1379866345284704E-3</v>
      </c>
      <c r="AP891" s="12">
        <f ca="1"/>
        <v>0.3919482966797283</v>
      </c>
      <c r="AQ891" s="13">
        <f ca="1"/>
        <v>0.39122126320066458</v>
      </c>
      <c r="AR891" s="13">
        <f ca="1"/>
        <v>0.86341508334606032</v>
      </c>
      <c r="AS891" s="13">
        <f ca="1"/>
        <v>2.2633783058818095</v>
      </c>
      <c r="AT891" s="13">
        <f ca="1"/>
        <v>1.4253722120472636</v>
      </c>
      <c r="AU891" s="14">
        <f ca="1"/>
        <v>0.48710951057694851</v>
      </c>
      <c r="AW891" s="12">
        <f ca="1"/>
        <v>-1.9525730079703578</v>
      </c>
      <c r="AX891" s="13">
        <f ca="1"/>
        <v>-2.1729132021685476</v>
      </c>
      <c r="AY891" s="13">
        <f ca="1"/>
        <v>-2.2292516390760215</v>
      </c>
      <c r="AZ891" s="13">
        <f ca="1"/>
        <v>-2.0435126632564597</v>
      </c>
      <c r="BA891" s="13">
        <f ca="1"/>
        <v>-1.7012394561794411</v>
      </c>
      <c r="BB891" s="14">
        <f ca="1"/>
        <v>-1.7905794823323968</v>
      </c>
    </row>
    <row r="892" spans="4:54" ht="24" customHeight="1" x14ac:dyDescent="0.3">
      <c r="E892" s="18">
        <f ca="1"/>
        <v>0.84855975917614135</v>
      </c>
      <c r="F892" s="18">
        <f ca="1"/>
        <v>0.7810353574461848</v>
      </c>
      <c r="G892" s="18">
        <f ca="1"/>
        <v>8.6394170964676498E-2</v>
      </c>
      <c r="H892" s="18">
        <f ca="1"/>
        <v>0.53515880540579053</v>
      </c>
      <c r="I892" s="18">
        <f ca="1"/>
        <v>0.57959811921632465</v>
      </c>
      <c r="J892" s="18">
        <f ca="1"/>
        <v>-0.71839951781790035</v>
      </c>
      <c r="K892" s="18">
        <f ca="1"/>
        <v>8.7511218648487876E-2</v>
      </c>
      <c r="L892" s="18">
        <f ca="1"/>
        <v>0.4732528936394842</v>
      </c>
      <c r="O892" s="12">
        <f ca="1"/>
        <v>-5.9697850084981519E-2</v>
      </c>
      <c r="P892" s="13">
        <f ca="1"/>
        <v>1.0962795939949264</v>
      </c>
      <c r="Q892" s="13">
        <f ca="1"/>
        <v>2.5618512708833254</v>
      </c>
      <c r="R892" s="13">
        <f ca="1"/>
        <v>-2.2535421724688192</v>
      </c>
      <c r="S892" s="13">
        <f ca="1"/>
        <v>-1.4313323584249504</v>
      </c>
      <c r="T892" s="14">
        <f ca="1"/>
        <v>3.2358276249583287</v>
      </c>
      <c r="W892" s="12">
        <f ca="1"/>
        <v>2.1771586486791716</v>
      </c>
      <c r="X892" s="13">
        <f ca="1"/>
        <v>-1.8006008450893183</v>
      </c>
      <c r="Y892" s="13">
        <f ca="1"/>
        <v>-1.8671248603165447</v>
      </c>
      <c r="Z892" s="14">
        <f ca="1"/>
        <v>-0.28999591776010408</v>
      </c>
      <c r="AB892" s="12">
        <f ca="1"/>
        <v>2.887638523778834</v>
      </c>
      <c r="AC892" s="13">
        <f ca="1"/>
        <v>-0.82150457901273222</v>
      </c>
      <c r="AD892" s="13">
        <f ca="1"/>
        <v>0.34683971155501225</v>
      </c>
      <c r="AE892" s="13">
        <f ca="1"/>
        <v>-1.6442369606702727</v>
      </c>
      <c r="AF892" s="13">
        <f ca="1"/>
        <v>-4.6970701511954149E-3</v>
      </c>
      <c r="AG892" s="14">
        <f ca="1"/>
        <v>-3.3960506071429619</v>
      </c>
      <c r="AI892" s="12">
        <f ca="1"/>
        <v>0</v>
      </c>
      <c r="AJ892" s="13">
        <f ca="1"/>
        <v>0</v>
      </c>
      <c r="AK892" s="13">
        <f ca="1"/>
        <v>0.14113126567122386</v>
      </c>
      <c r="AL892" s="13">
        <f ca="1"/>
        <v>1.0097163054855818E-3</v>
      </c>
      <c r="AM892" s="13">
        <f ca="1"/>
        <v>1.4322973094075509E-3</v>
      </c>
      <c r="AN892" s="14">
        <f ca="1"/>
        <v>1.0956397263200887E-3</v>
      </c>
      <c r="AP892" s="12">
        <f ca="1"/>
        <v>3.0860391782549907</v>
      </c>
      <c r="AQ892" s="13">
        <f ca="1"/>
        <v>3.0631768179393917</v>
      </c>
      <c r="AR892" s="13">
        <f ca="1"/>
        <v>2.7118794441516627</v>
      </c>
      <c r="AS892" s="13">
        <f ca="1"/>
        <v>-7.7201275745777204E-2</v>
      </c>
      <c r="AT892" s="13">
        <f ca="1"/>
        <v>0.29398278518946586</v>
      </c>
      <c r="AU892" s="14">
        <f ca="1"/>
        <v>2.9168151251615115</v>
      </c>
      <c r="AW892" s="12">
        <f ca="1"/>
        <v>-3.6913048670759565</v>
      </c>
      <c r="AX892" s="13">
        <f ca="1"/>
        <v>-4.0097544589998009</v>
      </c>
      <c r="AY892" s="13">
        <f ca="1"/>
        <v>-2.5980524625848633</v>
      </c>
      <c r="AZ892" s="13">
        <f ca="1"/>
        <v>2.9048848295527177</v>
      </c>
      <c r="BA892" s="13">
        <f ca="1"/>
        <v>1.0883110369882147</v>
      </c>
      <c r="BB892" s="14">
        <f ca="1"/>
        <v>-2.3931632310262754</v>
      </c>
    </row>
    <row r="893" spans="4:54" ht="24" customHeight="1" x14ac:dyDescent="0.3">
      <c r="E893" s="18">
        <f ca="1"/>
        <v>0.1182731898518119</v>
      </c>
      <c r="F893" s="18">
        <f ca="1"/>
        <v>-0.91009089122850062</v>
      </c>
      <c r="G893" s="18">
        <f ca="1"/>
        <v>0.76265580502077368</v>
      </c>
      <c r="H893" s="18">
        <f ca="1"/>
        <v>0.4304245746555071</v>
      </c>
      <c r="I893" s="18">
        <f ca="1"/>
        <v>7.45450217914847E-2</v>
      </c>
      <c r="J893" s="18">
        <f ca="1"/>
        <v>-0.51918068384241556</v>
      </c>
      <c r="K893" s="18">
        <f ca="1"/>
        <v>0.12235107164480796</v>
      </c>
      <c r="L893" s="18">
        <f ca="1"/>
        <v>0.28520267468362048</v>
      </c>
      <c r="O893" s="15">
        <f ca="1"/>
        <v>-1.1244394818915433</v>
      </c>
      <c r="P893" s="16">
        <f ca="1"/>
        <v>-1.2539992274495728</v>
      </c>
      <c r="Q893" s="16">
        <f ca="1"/>
        <v>0.46118333421128632</v>
      </c>
      <c r="R893" s="16">
        <f ca="1"/>
        <v>1.6221596977255623</v>
      </c>
      <c r="S893" s="16">
        <f ca="1"/>
        <v>1.6289885003310429</v>
      </c>
      <c r="T893" s="17">
        <f ca="1"/>
        <v>1.1272673459166511</v>
      </c>
      <c r="W893" s="12">
        <f ca="1"/>
        <v>-3.4585119607231953</v>
      </c>
      <c r="X893" s="13">
        <f ca="1"/>
        <v>1.0358772499262248</v>
      </c>
      <c r="Y893" s="13">
        <f ca="1"/>
        <v>0.24030201329732281</v>
      </c>
      <c r="Z893" s="14">
        <f ca="1"/>
        <v>1.6501022728088164</v>
      </c>
      <c r="AB893" s="12">
        <f ca="1"/>
        <v>-1.6920900439855511</v>
      </c>
      <c r="AC893" s="13">
        <f ca="1"/>
        <v>-0.44035317516930428</v>
      </c>
      <c r="AD893" s="13">
        <f ca="1"/>
        <v>-2.5857248442129572</v>
      </c>
      <c r="AE893" s="13">
        <f ca="1"/>
        <v>5.1886070655269085</v>
      </c>
      <c r="AF893" s="13">
        <f ca="1"/>
        <v>5.404115780284779</v>
      </c>
      <c r="AG893" s="14">
        <f ca="1"/>
        <v>0.30586761781070748</v>
      </c>
      <c r="AI893" s="12">
        <f ca="1"/>
        <v>0</v>
      </c>
      <c r="AJ893" s="13">
        <f ca="1"/>
        <v>0</v>
      </c>
      <c r="AK893" s="13">
        <f ca="1"/>
        <v>0</v>
      </c>
      <c r="AL893" s="13">
        <f ca="1"/>
        <v>0.93684086378237807</v>
      </c>
      <c r="AM893" s="13">
        <f ca="1"/>
        <v>0.31992689473020947</v>
      </c>
      <c r="AN893" s="14">
        <f ca="1"/>
        <v>4.4400762494000975E-2</v>
      </c>
      <c r="AP893" s="15">
        <f ca="1"/>
        <v>2.2487180481507547</v>
      </c>
      <c r="AQ893" s="16">
        <f ca="1"/>
        <v>2.1767720806625719</v>
      </c>
      <c r="AR893" s="16">
        <f ca="1"/>
        <v>2.3493033114720725</v>
      </c>
      <c r="AS893" s="16">
        <f ca="1"/>
        <v>1.9755514088541313</v>
      </c>
      <c r="AT893" s="16">
        <f ca="1"/>
        <v>1.1871798792134129</v>
      </c>
      <c r="AU893" s="17">
        <f ca="1"/>
        <v>2.2178338098307351</v>
      </c>
      <c r="AW893" s="12">
        <f ca="1"/>
        <v>3.0211282842567497</v>
      </c>
      <c r="AX893" s="13">
        <f ca="1"/>
        <v>1.5918301367858323</v>
      </c>
      <c r="AY893" s="13">
        <f ca="1"/>
        <v>2.7431395137189525</v>
      </c>
      <c r="AZ893" s="13">
        <f ca="1"/>
        <v>0.13532867934479498</v>
      </c>
      <c r="BA893" s="13">
        <f ca="1"/>
        <v>1.0285096261512294</v>
      </c>
      <c r="BB893" s="14">
        <f ca="1"/>
        <v>1.7854680255214768</v>
      </c>
    </row>
    <row r="894" spans="4:54" ht="24" customHeight="1" x14ac:dyDescent="0.3">
      <c r="W894" s="12">
        <f ca="1"/>
        <v>-2.1308343038603645</v>
      </c>
      <c r="X894" s="13">
        <f ca="1"/>
        <v>-1.3700213596331052</v>
      </c>
      <c r="Y894" s="13">
        <f ca="1"/>
        <v>-0.16374651425945763</v>
      </c>
      <c r="Z894" s="14">
        <f ca="1"/>
        <v>0.86505715771686242</v>
      </c>
      <c r="AB894" s="12">
        <f ca="1"/>
        <v>2.8852222998941084</v>
      </c>
      <c r="AC894" s="13">
        <f ca="1"/>
        <v>0.1971352790655666</v>
      </c>
      <c r="AD894" s="13">
        <f ca="1"/>
        <v>-0.72593910062181632</v>
      </c>
      <c r="AE894" s="13">
        <f ca="1"/>
        <v>1.8188340141995019</v>
      </c>
      <c r="AF894" s="13">
        <f ca="1"/>
        <v>6.1559250361333007</v>
      </c>
      <c r="AG894" s="14">
        <f ca="1"/>
        <v>-1.8867335327790593</v>
      </c>
      <c r="AI894" s="12">
        <f ca="1"/>
        <v>0</v>
      </c>
      <c r="AJ894" s="13">
        <f ca="1"/>
        <v>0</v>
      </c>
      <c r="AK894" s="13">
        <f ca="1"/>
        <v>0</v>
      </c>
      <c r="AL894" s="13">
        <f ca="1"/>
        <v>0</v>
      </c>
      <c r="AM894" s="13">
        <f ca="1"/>
        <v>0.67851173292678513</v>
      </c>
      <c r="AN894" s="14">
        <f ca="1"/>
        <v>4.9562801617885023E-3</v>
      </c>
      <c r="AW894" s="12">
        <f ca="1"/>
        <v>4.2707423436698893</v>
      </c>
      <c r="AX894" s="13">
        <f ca="1"/>
        <v>4.0078601865156447</v>
      </c>
      <c r="AY894" s="13">
        <f ca="1"/>
        <v>4.1915007688199477</v>
      </c>
      <c r="AZ894" s="13">
        <f ca="1"/>
        <v>4.9665797929103892</v>
      </c>
      <c r="BA894" s="13">
        <f ca="1"/>
        <v>3.6397254115772069</v>
      </c>
      <c r="BB894" s="14">
        <f ca="1"/>
        <v>3.6643612199632809</v>
      </c>
    </row>
    <row r="895" spans="4:54" ht="24" customHeight="1" x14ac:dyDescent="0.3">
      <c r="D895" s="7" t="s">
        <v>13</v>
      </c>
      <c r="E895" s="18" cm="1">
        <f t="array" aca="1" ref="E895:L898" ca="1">(_xlfn.RANDARRAY(F865,F864)-0.5)*2</f>
        <v>0.79414651240126766</v>
      </c>
      <c r="F895" s="18">
        <f ca="1"/>
        <v>0.86617364355263859</v>
      </c>
      <c r="G895" s="18">
        <f ca="1"/>
        <v>0.3124956458057695</v>
      </c>
      <c r="H895" s="18">
        <f ca="1"/>
        <v>0.84204807995279207</v>
      </c>
      <c r="I895" s="18">
        <f ca="1"/>
        <v>0.33535949744245253</v>
      </c>
      <c r="J895" s="18">
        <f ca="1"/>
        <v>0.95999287152510648</v>
      </c>
      <c r="K895" s="18">
        <f ca="1"/>
        <v>-0.24278994589582625</v>
      </c>
      <c r="L895" s="18">
        <f ca="1"/>
        <v>0.3385217887898313</v>
      </c>
      <c r="N895" s="7" t="s">
        <v>219</v>
      </c>
      <c r="O895" s="9" cm="1">
        <f t="array" aca="1" ref="O895:T898" ca="1">MMULT(_xlfn.ANCHORARRAY(E895),_xlfn.ANCHORARRAY(O879))</f>
        <v>-0.22018132470738166</v>
      </c>
      <c r="P895" s="10">
        <f ca="1"/>
        <v>-0.43807966937138187</v>
      </c>
      <c r="Q895" s="10">
        <f ca="1"/>
        <v>2.1771586486791716</v>
      </c>
      <c r="R895" s="10">
        <f ca="1"/>
        <v>-3.4585119607231953</v>
      </c>
      <c r="S895" s="10">
        <f ca="1"/>
        <v>-2.1308343038603645</v>
      </c>
      <c r="T895" s="11">
        <f ca="1"/>
        <v>0.8634988934248331</v>
      </c>
      <c r="W895" s="15">
        <f ca="1"/>
        <v>0.8634988934248331</v>
      </c>
      <c r="X895" s="16">
        <f ca="1"/>
        <v>-1.9178839671629262</v>
      </c>
      <c r="Y895" s="16">
        <f ca="1"/>
        <v>-3.4552999017424924</v>
      </c>
      <c r="Z895" s="17">
        <f ca="1"/>
        <v>1.4597822930019613</v>
      </c>
      <c r="AB895" s="15">
        <f ca="1"/>
        <v>2.6385530346035551</v>
      </c>
      <c r="AC895" s="16">
        <f ca="1"/>
        <v>-2.4750381358613036</v>
      </c>
      <c r="AD895" s="16">
        <f ca="1"/>
        <v>-2.1965934830548757</v>
      </c>
      <c r="AE895" s="16">
        <f ca="1"/>
        <v>2.7212572232242733</v>
      </c>
      <c r="AF895" s="16">
        <f ca="1"/>
        <v>4.8580503406268178</v>
      </c>
      <c r="AG895" s="17">
        <f ca="1"/>
        <v>-5.7418504039068834</v>
      </c>
      <c r="AI895" s="15">
        <f ca="1"/>
        <v>0</v>
      </c>
      <c r="AJ895" s="16">
        <f ca="1"/>
        <v>0</v>
      </c>
      <c r="AK895" s="16">
        <f ca="1"/>
        <v>0</v>
      </c>
      <c r="AL895" s="16">
        <f ca="1"/>
        <v>0</v>
      </c>
      <c r="AM895" s="16">
        <f ca="1"/>
        <v>0</v>
      </c>
      <c r="AN895" s="17">
        <f ca="1"/>
        <v>1.0493004603004738E-4</v>
      </c>
      <c r="AW895" s="12">
        <f ca="1"/>
        <v>-3.7048415166060957</v>
      </c>
      <c r="AX895" s="13">
        <f ca="1"/>
        <v>-3.8492555384984728</v>
      </c>
      <c r="AY895" s="13">
        <f ca="1"/>
        <v>-3.1068387755499085</v>
      </c>
      <c r="AZ895" s="13">
        <f ca="1"/>
        <v>0.63840355745686939</v>
      </c>
      <c r="BA895" s="13">
        <f ca="1"/>
        <v>-0.13241641001616344</v>
      </c>
      <c r="BB895" s="14">
        <f ca="1"/>
        <v>-4.5458769096888849</v>
      </c>
    </row>
    <row r="896" spans="4:54" ht="24" customHeight="1" x14ac:dyDescent="0.3">
      <c r="E896" s="18">
        <f ca="1"/>
        <v>-7.9236915850905643E-2</v>
      </c>
      <c r="F896" s="18">
        <f ca="1"/>
        <v>-0.42568302178746142</v>
      </c>
      <c r="G896" s="18">
        <f ca="1"/>
        <v>-0.79932569509953533</v>
      </c>
      <c r="H896" s="18">
        <f ca="1"/>
        <v>-0.66150702901016745</v>
      </c>
      <c r="I896" s="18">
        <f ca="1"/>
        <v>-0.41004925236899625</v>
      </c>
      <c r="J896" s="18">
        <f ca="1"/>
        <v>0.64344642930628115</v>
      </c>
      <c r="K896" s="18">
        <f ca="1"/>
        <v>0.64846118225034743</v>
      </c>
      <c r="L896" s="18">
        <f ca="1"/>
        <v>-0.43785195844302605</v>
      </c>
      <c r="O896" s="12">
        <f ca="1"/>
        <v>0.88510485564981745</v>
      </c>
      <c r="P896" s="13">
        <f ca="1"/>
        <v>2.177683106356759</v>
      </c>
      <c r="Q896" s="13">
        <f ca="1"/>
        <v>-1.8006008450893183</v>
      </c>
      <c r="R896" s="13">
        <f ca="1"/>
        <v>1.0358772499262248</v>
      </c>
      <c r="S896" s="13">
        <f ca="1"/>
        <v>-1.3700213596331052</v>
      </c>
      <c r="T896" s="14">
        <f ca="1"/>
        <v>-1.9178839671629262</v>
      </c>
      <c r="AW896" s="12">
        <f ca="1"/>
        <v>2.4720196472956397</v>
      </c>
      <c r="AX896" s="13">
        <f ca="1"/>
        <v>2.5415117547990707</v>
      </c>
      <c r="AY896" s="13">
        <f ca="1"/>
        <v>2.3517412767893631</v>
      </c>
      <c r="AZ896" s="13">
        <f ca="1"/>
        <v>4.4301416560697628</v>
      </c>
      <c r="BA896" s="13">
        <f ca="1"/>
        <v>1.8354535768774323</v>
      </c>
      <c r="BB896" s="14">
        <f ca="1"/>
        <v>2.2409251791359122</v>
      </c>
    </row>
    <row r="897" spans="4:54" ht="24" customHeight="1" x14ac:dyDescent="0.3">
      <c r="E897" s="18">
        <f ca="1"/>
        <v>-0.98090449452422845</v>
      </c>
      <c r="F897" s="18">
        <f ca="1"/>
        <v>0.9565116057236609</v>
      </c>
      <c r="G897" s="18">
        <f ca="1"/>
        <v>-0.81985063909661759</v>
      </c>
      <c r="H897" s="18">
        <f ca="1"/>
        <v>0.84487451902616417</v>
      </c>
      <c r="I897" s="18">
        <f ca="1"/>
        <v>-0.94276455349080202</v>
      </c>
      <c r="J897" s="18">
        <f ca="1"/>
        <v>0.23097655614945589</v>
      </c>
      <c r="K897" s="18">
        <f ca="1"/>
        <v>9.9624907923970607E-2</v>
      </c>
      <c r="L897" s="18">
        <f ca="1"/>
        <v>-0.69682349523405307</v>
      </c>
      <c r="O897" s="12">
        <f ca="1"/>
        <v>2.8041077204767229</v>
      </c>
      <c r="P897" s="13">
        <f ca="1"/>
        <v>-1.3023261702099123</v>
      </c>
      <c r="Q897" s="13">
        <f ca="1"/>
        <v>-1.8671248603165447</v>
      </c>
      <c r="R897" s="13">
        <f ca="1"/>
        <v>0.24030201329732281</v>
      </c>
      <c r="S897" s="13">
        <f ca="1"/>
        <v>-0.16374651425945763</v>
      </c>
      <c r="T897" s="14">
        <f ca="1"/>
        <v>-3.4552999017424924</v>
      </c>
      <c r="AW897" s="15">
        <f ca="1"/>
        <v>-4.9440485267939138</v>
      </c>
      <c r="AX897" s="16">
        <f ca="1"/>
        <v>-4.484639622660362</v>
      </c>
      <c r="AY897" s="16">
        <f ca="1"/>
        <v>-3.4063778161690021</v>
      </c>
      <c r="AZ897" s="16">
        <f ca="1"/>
        <v>1.5756118247602546</v>
      </c>
      <c r="BA897" s="16">
        <f ca="1"/>
        <v>-0.77436815672244508</v>
      </c>
      <c r="BB897" s="17">
        <f ca="1"/>
        <v>-2.8805257754435893</v>
      </c>
    </row>
    <row r="898" spans="4:54" ht="24" customHeight="1" x14ac:dyDescent="0.3">
      <c r="E898" s="18">
        <f ca="1"/>
        <v>0.22421464018875703</v>
      </c>
      <c r="F898" s="18">
        <f ca="1"/>
        <v>-0.64401651986078878</v>
      </c>
      <c r="G898" s="18">
        <f ca="1"/>
        <v>0.86483393505289818</v>
      </c>
      <c r="H898" s="18">
        <f ca="1"/>
        <v>-0.53327310974789421</v>
      </c>
      <c r="I898" s="18">
        <f ca="1"/>
        <v>-0.60293399062738517</v>
      </c>
      <c r="J898" s="18">
        <f ca="1"/>
        <v>-0.29341892817349224</v>
      </c>
      <c r="K898" s="18">
        <f ca="1"/>
        <v>-0.34699830086830286</v>
      </c>
      <c r="L898" s="18">
        <f ca="1"/>
        <v>0.23038728313968271</v>
      </c>
      <c r="O898" s="15">
        <f ca="1"/>
        <v>-3.0466895609920859</v>
      </c>
      <c r="P898" s="16">
        <f ca="1"/>
        <v>-1.4196239171762628</v>
      </c>
      <c r="Q898" s="16">
        <f ca="1"/>
        <v>-0.28999591776010408</v>
      </c>
      <c r="R898" s="16">
        <f ca="1"/>
        <v>1.6501022728088164</v>
      </c>
      <c r="S898" s="16">
        <f ca="1"/>
        <v>0.86505715771686242</v>
      </c>
      <c r="T898" s="17">
        <f ca="1"/>
        <v>1.4597822930019613</v>
      </c>
    </row>
    <row r="900" spans="4:54" ht="24" customHeight="1" x14ac:dyDescent="0.3">
      <c r="D900" s="7" t="s">
        <v>15</v>
      </c>
      <c r="E900" s="18" cm="1">
        <f t="array" aca="1" ref="E900:L903" ca="1">(_xlfn.RANDARRAY(F865,F864)-0.5)*2</f>
        <v>-0.81320690907968141</v>
      </c>
      <c r="F900" s="18">
        <f ca="1"/>
        <v>-0.6430924609925408</v>
      </c>
      <c r="G900" s="18">
        <f ca="1"/>
        <v>0.59502405640081024</v>
      </c>
      <c r="H900" s="18">
        <f ca="1"/>
        <v>-0.6608276017182706</v>
      </c>
      <c r="I900" s="18">
        <f ca="1"/>
        <v>-0.77199128869073785</v>
      </c>
      <c r="J900" s="18">
        <f ca="1"/>
        <v>0.79903612722871742</v>
      </c>
      <c r="K900" s="18">
        <f ca="1"/>
        <v>0.284028705813546</v>
      </c>
      <c r="L900" s="18">
        <f ca="1"/>
        <v>0.23358205683076605</v>
      </c>
      <c r="N900" s="7" t="s">
        <v>220</v>
      </c>
      <c r="O900" s="9" cm="1">
        <f t="array" aca="1" ref="O900:T903" ca="1">MMULT(_xlfn.ANCHORARRAY(E900),_xlfn.ANCHORARRAY(O879))</f>
        <v>-0.74532480215519947</v>
      </c>
      <c r="P900" s="10">
        <f ca="1"/>
        <v>-1.4274154700456414</v>
      </c>
      <c r="Q900" s="10">
        <f ca="1"/>
        <v>-0.13305973305505184</v>
      </c>
      <c r="R900" s="10">
        <f ca="1"/>
        <v>3.9338557924756632</v>
      </c>
      <c r="S900" s="10">
        <f ca="1"/>
        <v>0.35887890317900206</v>
      </c>
      <c r="T900" s="11">
        <f ca="1"/>
        <v>-0.92159284309569511</v>
      </c>
    </row>
    <row r="901" spans="4:54" ht="24" customHeight="1" x14ac:dyDescent="0.3">
      <c r="E901" s="18">
        <f ca="1"/>
        <v>-0.67268629238276256</v>
      </c>
      <c r="F901" s="18">
        <f ca="1"/>
        <v>6.4611341719822413E-3</v>
      </c>
      <c r="G901" s="18">
        <f ca="1"/>
        <v>0.90032231216840142</v>
      </c>
      <c r="H901" s="18">
        <f ca="1"/>
        <v>-0.99028286837517898</v>
      </c>
      <c r="I901" s="18">
        <f ca="1"/>
        <v>0.91478375159487957</v>
      </c>
      <c r="J901" s="18">
        <f ca="1"/>
        <v>-2.1451508649036999E-2</v>
      </c>
      <c r="K901" s="18">
        <f ca="1"/>
        <v>0.22634775206360347</v>
      </c>
      <c r="L901" s="18">
        <f ca="1"/>
        <v>0.83926495668697321</v>
      </c>
      <c r="O901" s="12">
        <f ca="1"/>
        <v>0.3919482966797283</v>
      </c>
      <c r="P901" s="13">
        <f ca="1"/>
        <v>0.36528114562931491</v>
      </c>
      <c r="Q901" s="13">
        <f ca="1"/>
        <v>3.7330237307932972</v>
      </c>
      <c r="R901" s="13">
        <f ca="1"/>
        <v>2.3877115471669046</v>
      </c>
      <c r="S901" s="13">
        <f ca="1"/>
        <v>0.96694707726329643</v>
      </c>
      <c r="T901" s="14">
        <f ca="1"/>
        <v>2.5618087987090519</v>
      </c>
    </row>
    <row r="902" spans="4:54" ht="24" customHeight="1" x14ac:dyDescent="0.3">
      <c r="E902" s="18">
        <f ca="1"/>
        <v>-0.56425838824186814</v>
      </c>
      <c r="F902" s="18">
        <f ca="1"/>
        <v>0.88741298822780301</v>
      </c>
      <c r="G902" s="18">
        <f ca="1"/>
        <v>-0.30038231835825124</v>
      </c>
      <c r="H902" s="18">
        <f ca="1"/>
        <v>-0.81066341711849832</v>
      </c>
      <c r="I902" s="18">
        <f ca="1"/>
        <v>2.9098713670538068E-2</v>
      </c>
      <c r="J902" s="18">
        <f ca="1"/>
        <v>0.14535498417361881</v>
      </c>
      <c r="K902" s="18">
        <f ca="1"/>
        <v>0.31201486195549499</v>
      </c>
      <c r="L902" s="18">
        <f ca="1"/>
        <v>-0.86780505112925166</v>
      </c>
      <c r="O902" s="12">
        <f ca="1"/>
        <v>3.0860391782549907</v>
      </c>
      <c r="P902" s="13">
        <f ca="1"/>
        <v>2.2474615426140145</v>
      </c>
      <c r="Q902" s="13">
        <f ca="1"/>
        <v>0.44902262123899872</v>
      </c>
      <c r="R902" s="13">
        <f ca="1"/>
        <v>-0.23202707136743239</v>
      </c>
      <c r="S902" s="13">
        <f ca="1"/>
        <v>0.54129560863773807</v>
      </c>
      <c r="T902" s="14">
        <f ca="1"/>
        <v>-0.83984759332197179</v>
      </c>
    </row>
    <row r="903" spans="4:54" ht="24" customHeight="1" x14ac:dyDescent="0.3">
      <c r="E903" s="18">
        <f ca="1"/>
        <v>-0.83710939623742231</v>
      </c>
      <c r="F903" s="18">
        <f ca="1"/>
        <v>0.17584289520897345</v>
      </c>
      <c r="G903" s="18">
        <f ca="1"/>
        <v>0.58949342439045971</v>
      </c>
      <c r="H903" s="18">
        <f ca="1"/>
        <v>0.2318671517444999</v>
      </c>
      <c r="I903" s="18">
        <f ca="1"/>
        <v>0.52197178391166643</v>
      </c>
      <c r="J903" s="18">
        <f ca="1"/>
        <v>0.28984352678914194</v>
      </c>
      <c r="K903" s="18">
        <f ca="1"/>
        <v>0.61333976944291413</v>
      </c>
      <c r="L903" s="18">
        <f ca="1"/>
        <v>0.45023613419960418</v>
      </c>
      <c r="O903" s="15">
        <f ca="1"/>
        <v>2.2487180481507547</v>
      </c>
      <c r="P903" s="16">
        <f ca="1"/>
        <v>-0.39021679835228135</v>
      </c>
      <c r="Q903" s="16">
        <f ca="1"/>
        <v>3.0058926044502998</v>
      </c>
      <c r="R903" s="16">
        <f ca="1"/>
        <v>2.1312522808904903</v>
      </c>
      <c r="S903" s="16">
        <f ca="1"/>
        <v>0.73847155608819726</v>
      </c>
      <c r="T903" s="17">
        <f ca="1"/>
        <v>0.56785708140386404</v>
      </c>
    </row>
    <row r="905" spans="4:54" ht="24" customHeight="1" x14ac:dyDescent="0.3">
      <c r="D905" s="7" t="s">
        <v>224</v>
      </c>
      <c r="E905" s="18" cm="1">
        <f t="array" aca="1" ref="E905:H912" ca="1">(_xlfn.RANDARRAY(F864,F865)-0.5)*2</f>
        <v>0.5150696656985394</v>
      </c>
      <c r="F905" s="18">
        <f ca="1"/>
        <v>0.66573097824454264</v>
      </c>
      <c r="G905" s="18">
        <f ca="1"/>
        <v>-0.51885403952513753</v>
      </c>
      <c r="H905" s="18">
        <f ca="1"/>
        <v>0.27105990828393089</v>
      </c>
      <c r="N905" s="7" t="s">
        <v>225</v>
      </c>
      <c r="O905" s="9" cm="1">
        <f t="array" aca="1" ref="O905:T912" ca="1">MMULT(_xlfn.ANCHORARRAY(E905),_xlfn.ANCHORARRAY(AP890))</f>
        <v>-1.114628659595305</v>
      </c>
      <c r="P905" s="10">
        <f ca="1"/>
        <v>-1.1323303510801739</v>
      </c>
      <c r="Q905" s="10">
        <f ca="1"/>
        <v>-0.5356881507415675</v>
      </c>
      <c r="R905" s="10">
        <f ca="1"/>
        <v>3.9348400461686821</v>
      </c>
      <c r="S905" s="10">
        <f ca="1"/>
        <v>1.8916468318702542</v>
      </c>
      <c r="T905" s="11">
        <f ca="1"/>
        <v>-0.86418824251339466</v>
      </c>
    </row>
    <row r="906" spans="4:54" ht="24" customHeight="1" x14ac:dyDescent="0.3">
      <c r="E906" s="18">
        <f ca="1"/>
        <v>0.55866729530624415</v>
      </c>
      <c r="F906" s="18">
        <f ca="1"/>
        <v>-0.91620097139326084</v>
      </c>
      <c r="G906" s="18">
        <f ca="1"/>
        <v>-4.3173971593621907E-2</v>
      </c>
      <c r="H906" s="18">
        <f ca="1"/>
        <v>-0.7082065520345675</v>
      </c>
      <c r="O906" s="12">
        <f ca="1"/>
        <v>-2.5012854246961416</v>
      </c>
      <c r="P906" s="13">
        <f ca="1"/>
        <v>-2.459068637074787</v>
      </c>
      <c r="Q906" s="13">
        <f ca="1"/>
        <v>-2.9409568511923911</v>
      </c>
      <c r="R906" s="13">
        <f ca="1"/>
        <v>-1.4601823266928045</v>
      </c>
      <c r="S906" s="13">
        <f ca="1"/>
        <v>-1.3204490202835886</v>
      </c>
      <c r="T906" s="14">
        <f ca="1"/>
        <v>-2.442523602172141</v>
      </c>
    </row>
    <row r="907" spans="4:54" ht="24" customHeight="1" x14ac:dyDescent="0.3">
      <c r="E907" s="18">
        <f ca="1"/>
        <v>0.96588051457495316</v>
      </c>
      <c r="F907" s="18">
        <f ca="1"/>
        <v>-0.518465944279904</v>
      </c>
      <c r="G907" s="18">
        <f ca="1"/>
        <v>-0.94129129542528966</v>
      </c>
      <c r="H907" s="18">
        <f ca="1"/>
        <v>0.11054113653284414</v>
      </c>
      <c r="O907" s="12">
        <f ca="1"/>
        <v>-3.579392514226428</v>
      </c>
      <c r="P907" s="13">
        <f ca="1"/>
        <v>-3.5834099492972649</v>
      </c>
      <c r="Q907" s="13">
        <f ca="1"/>
        <v>-3.3786251462667742</v>
      </c>
      <c r="R907" s="13">
        <f ca="1"/>
        <v>2.5914319764040994</v>
      </c>
      <c r="S907" s="13">
        <f ca="1"/>
        <v>0.56594502576127403</v>
      </c>
      <c r="T907" s="14">
        <f ca="1"/>
        <v>-3.2709712136309741</v>
      </c>
    </row>
    <row r="908" spans="4:54" ht="24" customHeight="1" x14ac:dyDescent="0.3">
      <c r="E908" s="18">
        <f ca="1"/>
        <v>-0.54020361902682268</v>
      </c>
      <c r="F908" s="18">
        <f ca="1"/>
        <v>0.89331426808893477</v>
      </c>
      <c r="G908" s="18">
        <f ca="1"/>
        <v>0.42408983278331425</v>
      </c>
      <c r="H908" s="18">
        <f ca="1"/>
        <v>0.24083571074078902</v>
      </c>
      <c r="O908" s="12">
        <f ca="1"/>
        <v>2.603089609702788</v>
      </c>
      <c r="P908" s="13">
        <f ca="1"/>
        <v>2.5854629223569328</v>
      </c>
      <c r="Q908" s="13">
        <f ca="1"/>
        <v>2.8440022108167522</v>
      </c>
      <c r="R908" s="13">
        <f ca="1"/>
        <v>0.52206486048912781</v>
      </c>
      <c r="S908" s="13">
        <f ca="1"/>
        <v>0.87268292482840404</v>
      </c>
      <c r="T908" s="14">
        <f ca="1"/>
        <v>2.4959833217903116</v>
      </c>
    </row>
    <row r="909" spans="4:54" ht="24" customHeight="1" x14ac:dyDescent="0.3">
      <c r="E909" s="18">
        <f ca="1"/>
        <v>0.84897318503238406</v>
      </c>
      <c r="F909" s="18">
        <f ca="1"/>
        <v>0.81150310563320982</v>
      </c>
      <c r="G909" s="18">
        <f ca="1"/>
        <v>0.8754229495363175</v>
      </c>
      <c r="H909" s="18">
        <f ca="1"/>
        <v>0.45028036691689222</v>
      </c>
      <c r="O909" s="12">
        <f ca="1"/>
        <v>3.3994495964604923</v>
      </c>
      <c r="P909" s="13">
        <f ca="1"/>
        <v>3.3306619965810409</v>
      </c>
      <c r="Q909" s="13">
        <f ca="1"/>
        <v>3.5717723431427162</v>
      </c>
      <c r="R909" s="13">
        <f ca="1"/>
        <v>5.712107994279898</v>
      </c>
      <c r="S909" s="13">
        <f ca="1"/>
        <v>3.2235028763718283</v>
      </c>
      <c r="T909" s="14">
        <f ca="1"/>
        <v>3.4920725870083165</v>
      </c>
    </row>
    <row r="910" spans="4:54" ht="24" customHeight="1" x14ac:dyDescent="0.3">
      <c r="E910" s="18">
        <f ca="1"/>
        <v>3.300529424630172E-2</v>
      </c>
      <c r="F910" s="18">
        <f ca="1"/>
        <v>0.78549499405081891</v>
      </c>
      <c r="G910" s="18">
        <f ca="1"/>
        <v>-0.96374391066244014</v>
      </c>
      <c r="H910" s="18">
        <f ca="1"/>
        <v>-0.49641327131610247</v>
      </c>
      <c r="O910" s="12">
        <f ca="1"/>
        <v>-3.8071711880945722</v>
      </c>
      <c r="P910" s="13">
        <f ca="1"/>
        <v>-3.7506076425962656</v>
      </c>
      <c r="Q910" s="13">
        <f ca="1"/>
        <v>-3.123375640513097</v>
      </c>
      <c r="R910" s="13">
        <f ca="1"/>
        <v>0.99029088045722613</v>
      </c>
      <c r="S910" s="13">
        <f ca="1"/>
        <v>0.2965301523310816</v>
      </c>
      <c r="T910" s="14">
        <f ca="1"/>
        <v>-3.547103916347822</v>
      </c>
    </row>
    <row r="911" spans="4:54" ht="24" customHeight="1" x14ac:dyDescent="0.3">
      <c r="E911" s="18">
        <f ca="1"/>
        <v>0.69871154350266051</v>
      </c>
      <c r="F911" s="18">
        <f ca="1"/>
        <v>0.85579342563277505</v>
      </c>
      <c r="G911" s="18">
        <f ca="1"/>
        <v>0.80980806944883721</v>
      </c>
      <c r="H911" s="18">
        <f ca="1"/>
        <v>-0.31120797384768206</v>
      </c>
      <c r="O911" s="12">
        <f ca="1"/>
        <v>1.6139401742282404</v>
      </c>
      <c r="P911" s="13">
        <f ca="1"/>
        <v>1.6042007680395121</v>
      </c>
      <c r="Q911" s="13">
        <f ca="1"/>
        <v>1.7423599464188628</v>
      </c>
      <c r="R911" s="13">
        <f ca="1"/>
        <v>3.7726316963011834</v>
      </c>
      <c r="S911" s="13">
        <f ca="1"/>
        <v>2.1376749234897199</v>
      </c>
      <c r="T911" s="14">
        <f ca="1"/>
        <v>1.7139924764189483</v>
      </c>
    </row>
    <row r="912" spans="4:54" ht="24" customHeight="1" x14ac:dyDescent="0.3">
      <c r="E912" s="18">
        <f ca="1"/>
        <v>0.64646750673464881</v>
      </c>
      <c r="F912" s="18">
        <f ca="1"/>
        <v>-0.1566473649479585</v>
      </c>
      <c r="G912" s="18">
        <f ca="1"/>
        <v>-0.78083443681850495</v>
      </c>
      <c r="H912" s="18">
        <f ca="1"/>
        <v>-0.50006992814583384</v>
      </c>
      <c r="O912" s="15">
        <f ca="1"/>
        <v>-4.0774278709390526</v>
      </c>
      <c r="P912" s="16">
        <f ca="1"/>
        <v>-4.0355059697304583</v>
      </c>
      <c r="Q912" s="16">
        <f ca="1"/>
        <v>-3.8546123058268913</v>
      </c>
      <c r="R912" s="16">
        <f ca="1"/>
        <v>1.042888371242876</v>
      </c>
      <c r="S912" s="16">
        <f ca="1"/>
        <v>-7.5718483580243912E-2</v>
      </c>
      <c r="T912" s="17">
        <f ca="1"/>
        <v>-3.8096326473702353</v>
      </c>
    </row>
    <row r="915" spans="4:20" ht="24" customHeight="1" x14ac:dyDescent="0.3">
      <c r="D915" s="3" t="s">
        <v>227</v>
      </c>
    </row>
    <row r="916" spans="4:20" ht="24" customHeight="1" x14ac:dyDescent="0.3">
      <c r="D916" s="7" t="s">
        <v>228</v>
      </c>
      <c r="E916" s="18" cm="1">
        <f t="array" aca="1" ref="E916:E923" ca="1">_xlfn.RANDARRAY(F864,1)*0.5+0.75</f>
        <v>0.947386430065848</v>
      </c>
      <c r="N916" s="7" t="s">
        <v>229</v>
      </c>
      <c r="O916" s="19" cm="1">
        <f t="array" aca="1" ref="O916:T916" ca="1">SQRT(MMULT(TRANSPOSE(_xlfn.SEQUENCE(F864,1,1,0)),_xlfn.ANCHORARRAY(AW890)*_xlfn.ANCHORARRAY(AW890))/F864+F869)</f>
        <v>3.394823596481805</v>
      </c>
      <c r="P916" s="20">
        <f ca="1"/>
        <v>3.183157379645984</v>
      </c>
      <c r="Q916" s="20">
        <f ca="1"/>
        <v>2.8242613145917805</v>
      </c>
      <c r="R916" s="20">
        <f ca="1"/>
        <v>2.941502461887489</v>
      </c>
      <c r="S916" s="20">
        <f ca="1"/>
        <v>1.7414347679860529</v>
      </c>
      <c r="T916" s="21">
        <f ca="1"/>
        <v>2.7279667100631038</v>
      </c>
    </row>
    <row r="917" spans="4:20" ht="24" customHeight="1" x14ac:dyDescent="0.3">
      <c r="E917" s="18">
        <f ca="1"/>
        <v>0.78400525852470626</v>
      </c>
    </row>
    <row r="918" spans="4:20" ht="24" customHeight="1" x14ac:dyDescent="0.3">
      <c r="E918" s="18">
        <f ca="1"/>
        <v>1.2079115753878122</v>
      </c>
      <c r="N918" s="7" t="s">
        <v>230</v>
      </c>
      <c r="O918" s="9" cm="1">
        <f t="array" aca="1" ref="O918:T925" ca="1">_xlfn.ANCHORARRAY(AW890)/_xlfn.ANCHORARRAY(O916)*_xlfn.ANCHORARRAY(E916)</f>
        <v>-0.49242114420431499</v>
      </c>
      <c r="P918" s="10">
        <f ca="1"/>
        <v>-0.15616862263087197</v>
      </c>
      <c r="Q918" s="10">
        <f ca="1"/>
        <v>-0.15449860034644575</v>
      </c>
      <c r="R918" s="10">
        <f ca="1"/>
        <v>0.98765918425721988</v>
      </c>
      <c r="S918" s="10">
        <f ca="1"/>
        <v>0.74803382228345627</v>
      </c>
      <c r="T918" s="11">
        <f ca="1"/>
        <v>-1.297261745895751E-2</v>
      </c>
    </row>
    <row r="919" spans="4:20" ht="24" customHeight="1" x14ac:dyDescent="0.3">
      <c r="E919" s="18">
        <f ca="1"/>
        <v>1.2345490952991596</v>
      </c>
      <c r="O919" s="12">
        <f ca="1"/>
        <v>-0.45092991208398076</v>
      </c>
      <c r="P919" s="13">
        <f ca="1"/>
        <v>-0.53518415008665499</v>
      </c>
      <c r="Q919" s="13">
        <f ca="1"/>
        <v>-0.61883261247128651</v>
      </c>
      <c r="R919" s="13">
        <f ca="1"/>
        <v>-0.54466202038357237</v>
      </c>
      <c r="S919" s="13">
        <f ca="1"/>
        <v>-0.76590906772631728</v>
      </c>
      <c r="T919" s="14">
        <f ca="1"/>
        <v>-0.51460442122571648</v>
      </c>
    </row>
    <row r="920" spans="4:20" ht="24" customHeight="1" x14ac:dyDescent="0.3">
      <c r="E920" s="18">
        <f ca="1"/>
        <v>0.89344005078740785</v>
      </c>
      <c r="O920" s="12">
        <f ca="1"/>
        <v>-1.3134025231376449</v>
      </c>
      <c r="P920" s="13">
        <f ca="1"/>
        <v>-1.5215800690405756</v>
      </c>
      <c r="Q920" s="13">
        <f ca="1"/>
        <v>-1.1111640508642757</v>
      </c>
      <c r="R920" s="13">
        <f ca="1"/>
        <v>1.1928747489586127</v>
      </c>
      <c r="S920" s="13">
        <f ca="1"/>
        <v>0.75488529537094129</v>
      </c>
      <c r="T920" s="14">
        <f ca="1"/>
        <v>-1.0596645325199978</v>
      </c>
    </row>
    <row r="921" spans="4:20" ht="24" customHeight="1" x14ac:dyDescent="0.3">
      <c r="E921" s="18">
        <f ca="1"/>
        <v>0.87994400892026858</v>
      </c>
      <c r="O921" s="12">
        <f ca="1"/>
        <v>1.0986524289442157</v>
      </c>
      <c r="P921" s="13">
        <f ca="1"/>
        <v>0.6173720683133318</v>
      </c>
      <c r="Q921" s="13">
        <f ca="1"/>
        <v>1.199088904218695</v>
      </c>
      <c r="R921" s="13">
        <f ca="1"/>
        <v>5.6797470278485536E-2</v>
      </c>
      <c r="S921" s="13">
        <f ca="1"/>
        <v>0.72913763513514873</v>
      </c>
      <c r="T921" s="14">
        <f ca="1"/>
        <v>0.80801863434107923</v>
      </c>
    </row>
    <row r="922" spans="4:20" ht="24" customHeight="1" x14ac:dyDescent="0.3">
      <c r="E922" s="18">
        <f ca="1"/>
        <v>1.2488514671975759</v>
      </c>
      <c r="O922" s="12">
        <f ca="1"/>
        <v>1.1239618636982127</v>
      </c>
      <c r="P922" s="13">
        <f ca="1"/>
        <v>1.1249154162109338</v>
      </c>
      <c r="Q922" s="13">
        <f ca="1"/>
        <v>1.325958982768999</v>
      </c>
      <c r="R922" s="13">
        <f ca="1"/>
        <v>1.5085288419477438</v>
      </c>
      <c r="S922" s="13">
        <f ca="1"/>
        <v>1.8673547332080158</v>
      </c>
      <c r="T922" s="14">
        <f ca="1"/>
        <v>1.2001198777061577</v>
      </c>
    </row>
    <row r="923" spans="4:20" ht="24" customHeight="1" x14ac:dyDescent="0.3">
      <c r="E923" s="18">
        <f ca="1"/>
        <v>1.1261214627409086</v>
      </c>
      <c r="O923" s="12">
        <f ca="1"/>
        <v>-0.96030117733220155</v>
      </c>
      <c r="P923" s="13">
        <f ca="1"/>
        <v>-1.0640785063167673</v>
      </c>
      <c r="Q923" s="13">
        <f ca="1"/>
        <v>-0.96798555895011984</v>
      </c>
      <c r="R923" s="13">
        <f ca="1"/>
        <v>0.19097702379521098</v>
      </c>
      <c r="S923" s="13">
        <f ca="1"/>
        <v>-6.6909785435836699E-2</v>
      </c>
      <c r="T923" s="14">
        <f ca="1"/>
        <v>-1.4663364978809392</v>
      </c>
    </row>
    <row r="924" spans="4:20" ht="24" customHeight="1" x14ac:dyDescent="0.3">
      <c r="O924" s="12">
        <f ca="1"/>
        <v>0.90938020068723768</v>
      </c>
      <c r="P924" s="13">
        <f ca="1"/>
        <v>0.99711396746387049</v>
      </c>
      <c r="Q924" s="13">
        <f ca="1"/>
        <v>1.0399092778042063</v>
      </c>
      <c r="R924" s="13">
        <f ca="1"/>
        <v>1.8808717581442027</v>
      </c>
      <c r="S924" s="13">
        <f ca="1"/>
        <v>1.316276058452267</v>
      </c>
      <c r="T924" s="14">
        <f ca="1"/>
        <v>1.0258859419069439</v>
      </c>
    </row>
    <row r="925" spans="4:20" ht="24" customHeight="1" x14ac:dyDescent="0.3">
      <c r="O925" s="15">
        <f ca="1"/>
        <v>-1.6400260575027017</v>
      </c>
      <c r="P925" s="16">
        <f ca="1"/>
        <v>-1.5865533272180807</v>
      </c>
      <c r="Q925" s="16">
        <f ca="1"/>
        <v>-1.3582295480851689</v>
      </c>
      <c r="R925" s="16">
        <f ca="1"/>
        <v>0.60320544204894078</v>
      </c>
      <c r="S925" s="16">
        <f ca="1"/>
        <v>-0.50075524928031356</v>
      </c>
      <c r="T925" s="17">
        <f ca="1"/>
        <v>-1.1890987847246819</v>
      </c>
    </row>
    <row r="926" spans="4:20" ht="24" customHeight="1" x14ac:dyDescent="0.3">
      <c r="O926" s="1" t="s">
        <v>231</v>
      </c>
    </row>
    <row r="927" spans="4:20" ht="24" customHeight="1" x14ac:dyDescent="0.3">
      <c r="D927" s="7" t="s">
        <v>137</v>
      </c>
      <c r="E927" s="18" cm="1">
        <f t="array" aca="1" ref="E927:L932" ca="1">(_xlfn.RANDARRAY(F866,F864)-0.5)*2</f>
        <v>-0.70814017923483963</v>
      </c>
      <c r="F927" s="18">
        <f ca="1"/>
        <v>0.67466218357711361</v>
      </c>
      <c r="G927" s="18">
        <f ca="1"/>
        <v>-0.55827281741662294</v>
      </c>
      <c r="H927" s="18">
        <f ca="1"/>
        <v>0.89194150311899723</v>
      </c>
      <c r="I927" s="18">
        <f ca="1"/>
        <v>0.32006255415176232</v>
      </c>
      <c r="J927" s="18">
        <f ca="1"/>
        <v>-0.93449609775797482</v>
      </c>
      <c r="K927" s="18">
        <f ca="1"/>
        <v>-8.6617261860396422E-2</v>
      </c>
      <c r="L927" s="18">
        <f ca="1"/>
        <v>-0.60667729185587671</v>
      </c>
      <c r="O927" s="9" cm="1">
        <f t="array" aca="1" ref="O927:T932" ca="1">MMULT(_xlfn.ANCHORARRAY(E927),_xlfn.ANCHORARRAY(O918))/(1+EXP(-MMULT(_xlfn.ANCHORARRAY(E927),_xlfn.ANCHORARRAY(O918))))</f>
        <v>3.8553244791014478</v>
      </c>
      <c r="P927" s="10">
        <f ca="1"/>
        <v>3.2689413920851886</v>
      </c>
      <c r="Q927" s="10">
        <f ca="1"/>
        <v>3.3381164675258881</v>
      </c>
      <c r="R927" s="10">
        <f ca="1"/>
        <v>-0.24663859559802115</v>
      </c>
      <c r="S927" s="10">
        <f ca="1"/>
        <v>1.6490993370369505E-2</v>
      </c>
      <c r="T927" s="11">
        <f ca="1"/>
        <v>3.2485285739070577</v>
      </c>
    </row>
    <row r="928" spans="4:20" ht="24" customHeight="1" x14ac:dyDescent="0.3">
      <c r="E928" s="18">
        <f ca="1"/>
        <v>0.46247738193078147</v>
      </c>
      <c r="F928" s="18">
        <f ca="1"/>
        <v>-0.76675399230705388</v>
      </c>
      <c r="G928" s="18">
        <f ca="1"/>
        <v>0.56743973933763092</v>
      </c>
      <c r="H928" s="18">
        <f ca="1"/>
        <v>-0.97797139677645095</v>
      </c>
      <c r="I928" s="18">
        <f ca="1"/>
        <v>0.41377689610307078</v>
      </c>
      <c r="J928" s="18">
        <f ca="1"/>
        <v>0.18563191719270833</v>
      </c>
      <c r="K928" s="18">
        <f ca="1"/>
        <v>-0.99431418227372959</v>
      </c>
      <c r="L928" s="18">
        <f ca="1"/>
        <v>0.72411585123357947</v>
      </c>
      <c r="O928" s="12">
        <f ca="1"/>
        <v>-0.10212417830282942</v>
      </c>
      <c r="P928" s="13">
        <f ca="1"/>
        <v>-0.1421540421828576</v>
      </c>
      <c r="Q928" s="13">
        <f ca="1"/>
        <v>-0.13802546626224116</v>
      </c>
      <c r="R928" s="13">
        <f ca="1"/>
        <v>0.48593099941467854</v>
      </c>
      <c r="S928" s="13">
        <f ca="1"/>
        <v>-0.11418105553925151</v>
      </c>
      <c r="T928" s="14">
        <f ca="1"/>
        <v>-0.17393194286001692</v>
      </c>
    </row>
    <row r="929" spans="4:28" ht="24" customHeight="1" x14ac:dyDescent="0.3">
      <c r="E929" s="18">
        <f ca="1"/>
        <v>0.97300236699214304</v>
      </c>
      <c r="F929" s="18">
        <f ca="1"/>
        <v>-0.26087910041176476</v>
      </c>
      <c r="G929" s="18">
        <f ca="1"/>
        <v>-0.72496373996426211</v>
      </c>
      <c r="H929" s="18">
        <f ca="1"/>
        <v>0.97061565798990967</v>
      </c>
      <c r="I929" s="18">
        <f ca="1"/>
        <v>0.86323903810750968</v>
      </c>
      <c r="J929" s="18">
        <f ca="1"/>
        <v>0.26697427079870195</v>
      </c>
      <c r="K929" s="18">
        <f ca="1"/>
        <v>-0.3443810665437006</v>
      </c>
      <c r="L929" s="18">
        <f ca="1"/>
        <v>-0.60657158590030047</v>
      </c>
      <c r="O929" s="12">
        <f ca="1"/>
        <v>2.9148479886257515</v>
      </c>
      <c r="P929" s="13">
        <f ca="1"/>
        <v>2.853312691783251</v>
      </c>
      <c r="Q929" s="13">
        <f ca="1"/>
        <v>3.2175671091011218</v>
      </c>
      <c r="R929" s="13">
        <f ca="1"/>
        <v>0.41346122019210951</v>
      </c>
      <c r="S929" s="13">
        <f ca="1"/>
        <v>2.346244993849413</v>
      </c>
      <c r="T929" s="14">
        <f ca="1"/>
        <v>2.5152955605473637</v>
      </c>
    </row>
    <row r="930" spans="4:28" ht="24" customHeight="1" x14ac:dyDescent="0.3">
      <c r="E930" s="18">
        <f ca="1"/>
        <v>0.50719419948681077</v>
      </c>
      <c r="F930" s="18">
        <f ca="1"/>
        <v>0.28411271626155221</v>
      </c>
      <c r="G930" s="18">
        <f ca="1"/>
        <v>0.80802696696685317</v>
      </c>
      <c r="H930" s="18">
        <f ca="1"/>
        <v>0.27234202647467143</v>
      </c>
      <c r="I930" s="18">
        <f ca="1"/>
        <v>-0.60903642039906414</v>
      </c>
      <c r="J930" s="18">
        <f ca="1"/>
        <v>0.16565250414381349</v>
      </c>
      <c r="K930" s="18">
        <f ca="1"/>
        <v>0.36984424492614432</v>
      </c>
      <c r="L930" s="18">
        <f ca="1"/>
        <v>0.58989099138531875</v>
      </c>
      <c r="O930" s="12">
        <f ca="1"/>
        <v>-0.1783239322077321</v>
      </c>
      <c r="P930" s="13">
        <f ca="1"/>
        <v>-0.16799991975115594</v>
      </c>
      <c r="Q930" s="13">
        <f ca="1"/>
        <v>-0.21847420737672385</v>
      </c>
      <c r="R930" s="13">
        <f ca="1"/>
        <v>1.2158264280088995</v>
      </c>
      <c r="S930" s="13">
        <f ca="1"/>
        <v>6.740686511350423E-3</v>
      </c>
      <c r="T930" s="14">
        <f ca="1"/>
        <v>-0.23054292395708745</v>
      </c>
    </row>
    <row r="931" spans="4:28" ht="24" customHeight="1" x14ac:dyDescent="0.3">
      <c r="E931" s="18">
        <f ca="1"/>
        <v>0.32402596832712049</v>
      </c>
      <c r="F931" s="18">
        <f ca="1"/>
        <v>-0.78116345753681893</v>
      </c>
      <c r="G931" s="18">
        <f ca="1"/>
        <v>0.23777379144231237</v>
      </c>
      <c r="H931" s="18">
        <f ca="1"/>
        <v>0.23171096891956156</v>
      </c>
      <c r="I931" s="18">
        <f ca="1"/>
        <v>0.65293059090917538</v>
      </c>
      <c r="J931" s="18">
        <f ca="1"/>
        <v>0.22471225642705761</v>
      </c>
      <c r="K931" s="18">
        <f ca="1"/>
        <v>0.88480952858917172</v>
      </c>
      <c r="L931" s="18">
        <f ca="1"/>
        <v>-0.85858788432747168</v>
      </c>
      <c r="O931" s="12">
        <f ca="1"/>
        <v>2.7113990680199551</v>
      </c>
      <c r="P931" s="13">
        <f ca="1"/>
        <v>2.7362641746206382</v>
      </c>
      <c r="Q931" s="13">
        <f ca="1"/>
        <v>3.0546671254901261</v>
      </c>
      <c r="R931" s="13">
        <f ca="1"/>
        <v>3.0924840496407917</v>
      </c>
      <c r="S931" s="13">
        <f ca="1"/>
        <v>3.9153547467760808</v>
      </c>
      <c r="T931" s="14">
        <f ca="1"/>
        <v>2.547295593930039</v>
      </c>
    </row>
    <row r="932" spans="4:28" ht="24" customHeight="1" x14ac:dyDescent="0.3">
      <c r="E932" s="18">
        <f ca="1"/>
        <v>0.41806911362761312</v>
      </c>
      <c r="F932" s="18">
        <f ca="1"/>
        <v>-2.7020644066843236E-2</v>
      </c>
      <c r="G932" s="18">
        <f ca="1"/>
        <v>0.89560406083701682</v>
      </c>
      <c r="H932" s="18">
        <f ca="1"/>
        <v>0.55896761451732013</v>
      </c>
      <c r="I932" s="18">
        <f ca="1"/>
        <v>-0.61919569484128534</v>
      </c>
      <c r="J932" s="18">
        <f ca="1"/>
        <v>0.16746771763864876</v>
      </c>
      <c r="K932" s="18">
        <f ca="1"/>
        <v>0.12983389948152668</v>
      </c>
      <c r="L932" s="18">
        <f ca="1"/>
        <v>0.76127235874904509</v>
      </c>
      <c r="O932" s="15">
        <f ca="1"/>
        <v>-0.16589883746461639</v>
      </c>
      <c r="P932" s="16">
        <f ca="1"/>
        <v>-0.14038633373310566</v>
      </c>
      <c r="Q932" s="16">
        <f ca="1"/>
        <v>-0.21405405356302143</v>
      </c>
      <c r="R932" s="16">
        <f ca="1"/>
        <v>1.050838435486857</v>
      </c>
      <c r="S932" s="16">
        <f ca="1"/>
        <v>2.0031259365136694E-2</v>
      </c>
      <c r="T932" s="17">
        <f ca="1"/>
        <v>-0.21457495092749476</v>
      </c>
    </row>
    <row r="934" spans="4:28" ht="24" customHeight="1" x14ac:dyDescent="0.3">
      <c r="D934" s="7" t="s">
        <v>139</v>
      </c>
      <c r="E934" s="18" cm="1">
        <f t="array" aca="1" ref="E934:L939" ca="1">(_xlfn.RANDARRAY(F866,F864)-0.5)*2</f>
        <v>0.32405670483149018</v>
      </c>
      <c r="F934" s="18">
        <f ca="1"/>
        <v>-0.33138468794055509</v>
      </c>
      <c r="G934" s="18">
        <f ca="1"/>
        <v>0.39903265692740275</v>
      </c>
      <c r="H934" s="18">
        <f ca="1"/>
        <v>0.82291226901825798</v>
      </c>
      <c r="I934" s="18">
        <f ca="1"/>
        <v>0.1954489775373105</v>
      </c>
      <c r="J934" s="18">
        <f ca="1"/>
        <v>-2.0334536545814963E-2</v>
      </c>
      <c r="K934" s="18">
        <f ca="1"/>
        <v>-5.9565451306070383E-2</v>
      </c>
      <c r="L934" s="18">
        <f ca="1"/>
        <v>-0.61656413137024568</v>
      </c>
      <c r="N934" s="7" t="s">
        <v>232</v>
      </c>
      <c r="O934" s="9" cm="1">
        <f t="array" aca="1" ref="O934:T939" ca="1">MMULT(_xlfn.ANCHORARRAY(E934),_xlfn.ANCHORARRAY(O918))</f>
        <v>1.5660810355031236</v>
      </c>
      <c r="P934" s="10">
        <f ca="1"/>
        <v>1.1879466969884585</v>
      </c>
      <c r="Q934" s="10">
        <f ca="1"/>
        <v>1.7526933934981863</v>
      </c>
      <c r="R934" s="10">
        <f ca="1"/>
        <v>0.83029272594180736</v>
      </c>
      <c r="S934" s="10">
        <f ca="1"/>
        <v>1.9941324044126782</v>
      </c>
      <c r="T934" s="11">
        <f ca="1"/>
        <v>1.3448436321288284</v>
      </c>
    </row>
    <row r="935" spans="4:28" ht="24" customHeight="1" x14ac:dyDescent="0.3">
      <c r="E935" s="18">
        <f ca="1"/>
        <v>-0.74475089786993642</v>
      </c>
      <c r="F935" s="18">
        <f ca="1"/>
        <v>-0.94146476628412845</v>
      </c>
      <c r="G935" s="18">
        <f ca="1"/>
        <v>-0.75777289603559561</v>
      </c>
      <c r="H935" s="18">
        <f ca="1"/>
        <v>-1.7512590798624661E-2</v>
      </c>
      <c r="I935" s="18">
        <f ca="1"/>
        <v>8.2793015636206668E-3</v>
      </c>
      <c r="J935" s="18">
        <f ca="1"/>
        <v>0.19013819563240242</v>
      </c>
      <c r="K935" s="18">
        <f ca="1"/>
        <v>0.26714170817924465</v>
      </c>
      <c r="L935" s="18">
        <f ca="1"/>
        <v>0.27480493846236609</v>
      </c>
      <c r="O935" s="12">
        <f ca="1"/>
        <v>1.3862481032486453</v>
      </c>
      <c r="P935" s="13">
        <f ca="1"/>
        <v>1.3997336795941417</v>
      </c>
      <c r="Q935" s="13">
        <f ca="1"/>
        <v>1.2501648598273396</v>
      </c>
      <c r="R935" s="13">
        <f ca="1"/>
        <v>-0.41067806589154077</v>
      </c>
      <c r="S935" s="13">
        <f ca="1"/>
        <v>-0.20406265851199451</v>
      </c>
      <c r="T935" s="14">
        <f ca="1"/>
        <v>0.96139414463049655</v>
      </c>
    </row>
    <row r="936" spans="4:28" ht="24" customHeight="1" x14ac:dyDescent="0.3">
      <c r="E936" s="18">
        <f ca="1"/>
        <v>0.11051390491224744</v>
      </c>
      <c r="F936" s="18">
        <f ca="1"/>
        <v>-0.84623199728011089</v>
      </c>
      <c r="G936" s="18">
        <f ca="1"/>
        <v>-0.13031945123958533</v>
      </c>
      <c r="H936" s="18">
        <f ca="1"/>
        <v>0.5650318389904343</v>
      </c>
      <c r="I936" s="18">
        <f ca="1"/>
        <v>0.71331290197718111</v>
      </c>
      <c r="J936" s="18">
        <f ca="1"/>
        <v>0.80409294527124198</v>
      </c>
      <c r="K936" s="18">
        <f ca="1"/>
        <v>0.45017010287492987</v>
      </c>
      <c r="L936" s="18">
        <f ca="1"/>
        <v>0.70821164339338649</v>
      </c>
      <c r="O936" s="12">
        <f ca="1"/>
        <v>0.3965627608200335</v>
      </c>
      <c r="P936" s="13">
        <f ca="1"/>
        <v>0.25481152062674628</v>
      </c>
      <c r="Q936" s="13">
        <f ca="1"/>
        <v>1.0026267890556781</v>
      </c>
      <c r="R936" s="13">
        <f ca="1"/>
        <v>2.9502238127104232</v>
      </c>
      <c r="S936" s="13">
        <f ca="1"/>
        <v>2.5605286081813983</v>
      </c>
      <c r="T936" s="14">
        <f ca="1"/>
        <v>0.32537196271355229</v>
      </c>
    </row>
    <row r="937" spans="4:28" ht="24" customHeight="1" x14ac:dyDescent="0.3">
      <c r="E937" s="18">
        <f ca="1"/>
        <v>-0.4289055989986581</v>
      </c>
      <c r="F937" s="18">
        <f ca="1"/>
        <v>0.19765280937901597</v>
      </c>
      <c r="G937" s="18">
        <f ca="1"/>
        <v>-0.79539184039456323</v>
      </c>
      <c r="H937" s="18">
        <f ca="1"/>
        <v>-0.13048383346425485</v>
      </c>
      <c r="I937" s="18">
        <f ca="1"/>
        <v>0.72279008582411119</v>
      </c>
      <c r="J937" s="18">
        <f ca="1"/>
        <v>0.23950923580885863</v>
      </c>
      <c r="K937" s="18">
        <f ca="1"/>
        <v>2.9154564325286625E-2</v>
      </c>
      <c r="L937" s="18">
        <f ca="1"/>
        <v>-0.14887431422075803</v>
      </c>
      <c r="O937" s="12">
        <f ca="1"/>
        <v>1.8764457203102256</v>
      </c>
      <c r="P937" s="13">
        <f ca="1"/>
        <v>1.9143847853168585</v>
      </c>
      <c r="Q937" s="13">
        <f ca="1"/>
        <v>1.6303725327605039</v>
      </c>
      <c r="R937" s="13">
        <f ca="1"/>
        <v>-0.38635587380167224</v>
      </c>
      <c r="S937" s="13">
        <f ca="1"/>
        <v>0.27881477393654985</v>
      </c>
      <c r="T937" s="14">
        <f ca="1"/>
        <v>1.3644353116509493</v>
      </c>
    </row>
    <row r="938" spans="4:28" ht="24" customHeight="1" x14ac:dyDescent="0.3">
      <c r="E938" s="18">
        <f ca="1"/>
        <v>-0.15336213053429271</v>
      </c>
      <c r="F938" s="18">
        <f ca="1"/>
        <v>0.52579896650005509</v>
      </c>
      <c r="G938" s="18">
        <f ca="1"/>
        <v>-7.8511772793021795E-2</v>
      </c>
      <c r="H938" s="18">
        <f ca="1"/>
        <v>-0.13580101343466922</v>
      </c>
      <c r="I938" s="18">
        <f ca="1"/>
        <v>0.65001976243439907</v>
      </c>
      <c r="J938" s="18">
        <f ca="1"/>
        <v>-0.38269314860180081</v>
      </c>
      <c r="K938" s="18">
        <f ca="1"/>
        <v>0.78065468732023646</v>
      </c>
      <c r="L938" s="18">
        <f ca="1"/>
        <v>-0.89318503530457605</v>
      </c>
      <c r="O938" s="12">
        <f ca="1"/>
        <v>3.065196474356267</v>
      </c>
      <c r="P938" s="13">
        <f ca="1"/>
        <v>3.1120934634333102</v>
      </c>
      <c r="Q938" s="13">
        <f ca="1"/>
        <v>2.8800160008426126</v>
      </c>
      <c r="R938" s="13">
        <f ca="1"/>
        <v>1.2978051316785733</v>
      </c>
      <c r="S938" s="13">
        <f ca="1"/>
        <v>2.0385282968466054</v>
      </c>
      <c r="T938" s="14">
        <f ca="1"/>
        <v>2.9090839053153754</v>
      </c>
    </row>
    <row r="939" spans="4:28" ht="24" customHeight="1" x14ac:dyDescent="0.3">
      <c r="E939" s="18">
        <f ca="1"/>
        <v>-0.63492273323033999</v>
      </c>
      <c r="F939" s="18">
        <f ca="1"/>
        <v>-0.67217340189718877</v>
      </c>
      <c r="G939" s="18">
        <f ca="1"/>
        <v>-0.65180166698075359</v>
      </c>
      <c r="H939" s="18">
        <f ca="1"/>
        <v>0.41311228596601302</v>
      </c>
      <c r="I939" s="18">
        <f ca="1"/>
        <v>-0.44023780577187477</v>
      </c>
      <c r="J939" s="18">
        <f ca="1"/>
        <v>0.86172913568442766</v>
      </c>
      <c r="K939" s="18">
        <f ca="1"/>
        <v>0.31343936376919279</v>
      </c>
      <c r="L939" s="18">
        <f ca="1"/>
        <v>-0.31691311616689299</v>
      </c>
      <c r="O939" s="15">
        <f ca="1"/>
        <v>1.4081485540232164</v>
      </c>
      <c r="P939" s="16">
        <f ca="1"/>
        <v>1.108860551809141</v>
      </c>
      <c r="Q939" s="16">
        <f ca="1"/>
        <v>1.0721850636620924</v>
      </c>
      <c r="R939" s="16">
        <f ca="1"/>
        <v>-1.1161993935262866</v>
      </c>
      <c r="S939" s="16">
        <f ca="1"/>
        <v>-0.45940937918837432</v>
      </c>
      <c r="T939" s="17">
        <f ca="1"/>
        <v>0.28510456171590542</v>
      </c>
    </row>
    <row r="940" spans="4:28" ht="24" customHeight="1" x14ac:dyDescent="0.3">
      <c r="W940" s="1" t="s">
        <v>234</v>
      </c>
    </row>
    <row r="941" spans="4:28" ht="24" customHeight="1" x14ac:dyDescent="0.3">
      <c r="D941" s="7" t="s">
        <v>142</v>
      </c>
      <c r="E941" s="18" cm="1">
        <f t="array" aca="1" ref="E941:J948" ca="1">(_xlfn.RANDARRAY(F864,F866)-0.5)*2</f>
        <v>0.517172893162686</v>
      </c>
      <c r="F941" s="18">
        <f ca="1"/>
        <v>-0.10001216498231846</v>
      </c>
      <c r="G941" s="18">
        <f ca="1"/>
        <v>0.55634200432222114</v>
      </c>
      <c r="H941" s="18">
        <f ca="1"/>
        <v>-8.0850361653376446E-2</v>
      </c>
      <c r="I941" s="18">
        <f ca="1"/>
        <v>0.10910243789936835</v>
      </c>
      <c r="J941" s="18">
        <f ca="1"/>
        <v>-0.52590110338758578</v>
      </c>
      <c r="N941" s="7" t="s">
        <v>233</v>
      </c>
      <c r="O941" s="9" cm="1">
        <f t="array" aca="1" ref="O941:T948" ca="1">MMULT(_xlfn.ANCHORARRAY(E941),_xlfn.ANCHORARRAY(O927)*_xlfn.ANCHORARRAY(O934))</f>
        <v>4.8364633373032264</v>
      </c>
      <c r="P941" s="10">
        <f ca="1"/>
        <v>3.4696766864237483</v>
      </c>
      <c r="Q941" s="10">
        <f ca="1"/>
        <v>5.9471714136457985</v>
      </c>
      <c r="R941" s="10">
        <f ca="1"/>
        <v>1.6853866940737074</v>
      </c>
      <c r="S941" s="10">
        <f ca="1"/>
        <v>4.2324680306671931</v>
      </c>
      <c r="T941" s="11">
        <f ca="1"/>
        <v>3.5975300015801879</v>
      </c>
      <c r="W941" s="9" cm="1">
        <f t="array" aca="1" ref="W941:AB948" ca="1">_xlfn.ANCHORARRAY(AW890)+_xlfn.ANCHORARRAY(O941)</f>
        <v>3.071942686912247</v>
      </c>
      <c r="X941" s="10">
        <f ca="1"/>
        <v>2.9449601738998594</v>
      </c>
      <c r="Y941" s="10">
        <f ca="1"/>
        <v>5.4865943922009013</v>
      </c>
      <c r="Z941" s="10">
        <f ca="1"/>
        <v>4.751930429343882</v>
      </c>
      <c r="AA941" s="10">
        <f ca="1"/>
        <v>5.6074635598551827</v>
      </c>
      <c r="AB941" s="11">
        <f ca="1"/>
        <v>3.5601757948411703</v>
      </c>
    </row>
    <row r="942" spans="4:28" ht="24" customHeight="1" x14ac:dyDescent="0.3">
      <c r="E942" s="18">
        <f ca="1"/>
        <v>-0.62219016674235395</v>
      </c>
      <c r="F942" s="18">
        <f ca="1"/>
        <v>0.20683632125418283</v>
      </c>
      <c r="G942" s="18">
        <f ca="1"/>
        <v>0.36408909298806824</v>
      </c>
      <c r="H942" s="18">
        <f ca="1"/>
        <v>-0.90612795797944168</v>
      </c>
      <c r="I942" s="18">
        <f ca="1"/>
        <v>-0.22085168913860631</v>
      </c>
      <c r="J942" s="18">
        <f ca="1"/>
        <v>4.4858243756085159E-2</v>
      </c>
      <c r="O942" s="12">
        <f ca="1"/>
        <v>-4.9078199302668901</v>
      </c>
      <c r="P942" s="13">
        <f ca="1"/>
        <v>-3.788832981746757</v>
      </c>
      <c r="Q942" s="13">
        <f ca="1"/>
        <v>-4.1318550608876601</v>
      </c>
      <c r="R942" s="13">
        <f ca="1"/>
        <v>1.6908440202241415E-2</v>
      </c>
      <c r="S942" s="13">
        <f ca="1"/>
        <v>0.40681294664396384</v>
      </c>
      <c r="T942" s="14">
        <f ca="1"/>
        <v>-3.809103356747666</v>
      </c>
      <c r="W942" s="12">
        <f ca="1"/>
        <v>-6.8603929382372479</v>
      </c>
      <c r="X942" s="13">
        <f ca="1"/>
        <v>-5.9617461839153041</v>
      </c>
      <c r="Y942" s="13">
        <f ca="1"/>
        <v>-6.3611066999636812</v>
      </c>
      <c r="Z942" s="13">
        <f ca="1"/>
        <v>-2.0266042230542185</v>
      </c>
      <c r="AA942" s="13">
        <f ca="1"/>
        <v>-1.2944265095354772</v>
      </c>
      <c r="AB942" s="14">
        <f ca="1"/>
        <v>-5.5996828390800628</v>
      </c>
    </row>
    <row r="943" spans="4:28" ht="24" customHeight="1" x14ac:dyDescent="0.3">
      <c r="E943" s="18">
        <f ca="1"/>
        <v>-0.91147793149591028</v>
      </c>
      <c r="F943" s="18">
        <f ca="1"/>
        <v>0.52181938138850636</v>
      </c>
      <c r="G943" s="18">
        <f ca="1"/>
        <v>0.18510067611624503</v>
      </c>
      <c r="H943" s="18">
        <f ca="1"/>
        <v>-0.9751623213253966</v>
      </c>
      <c r="I943" s="18">
        <f ca="1"/>
        <v>0.94132623809211591</v>
      </c>
      <c r="J943" s="18">
        <f ca="1"/>
        <v>-0.50224790548782128</v>
      </c>
      <c r="O943" s="12">
        <f ca="1"/>
        <v>2.9037808287784412</v>
      </c>
      <c r="P943" s="13">
        <f ca="1"/>
        <v>4.898865869166384</v>
      </c>
      <c r="Q943" s="13">
        <f ca="1"/>
        <v>3.9182412276274832</v>
      </c>
      <c r="R943" s="13">
        <f ca="1"/>
        <v>5.133447586628149</v>
      </c>
      <c r="S943" s="13">
        <f ca="1"/>
        <v>8.6102426265131324</v>
      </c>
      <c r="T943" s="14">
        <f ca="1"/>
        <v>3.3951796884894549</v>
      </c>
      <c r="W943" s="12">
        <f ca="1"/>
        <v>-0.78752403829751527</v>
      </c>
      <c r="X943" s="13">
        <f ca="1"/>
        <v>0.88911141016658313</v>
      </c>
      <c r="Y943" s="13">
        <f ca="1"/>
        <v>1.3201887650426198</v>
      </c>
      <c r="Z943" s="13">
        <f ca="1"/>
        <v>8.0383324161808662</v>
      </c>
      <c r="AA943" s="13">
        <f ca="1"/>
        <v>9.6985536635013467</v>
      </c>
      <c r="AB943" s="14">
        <f ca="1"/>
        <v>1.0020164574631796</v>
      </c>
    </row>
    <row r="944" spans="4:28" ht="24" customHeight="1" x14ac:dyDescent="0.3">
      <c r="E944" s="18">
        <f ca="1"/>
        <v>-0.93688192630992972</v>
      </c>
      <c r="F944" s="18">
        <f ca="1"/>
        <v>0.44811242712657195</v>
      </c>
      <c r="G944" s="18">
        <f ca="1"/>
        <v>-0.1547964654082814</v>
      </c>
      <c r="H944" s="18">
        <f ca="1"/>
        <v>-0.98307006345672177</v>
      </c>
      <c r="I944" s="18">
        <f ca="1"/>
        <v>-0.91368325900989111</v>
      </c>
      <c r="J944" s="18">
        <f ca="1"/>
        <v>0.71706798547276129</v>
      </c>
      <c r="O944" s="12">
        <f ca="1"/>
        <v>-13.331189933321498</v>
      </c>
      <c r="P944" s="13">
        <f ca="1"/>
        <v>-11.415862620290371</v>
      </c>
      <c r="Q944" s="13">
        <f ca="1"/>
        <v>-13.910636897428027</v>
      </c>
      <c r="R944" s="13">
        <f ca="1"/>
        <v>-4.1326972455608439</v>
      </c>
      <c r="S944" s="13">
        <f ca="1"/>
        <v>-8.2513935132714717</v>
      </c>
      <c r="T944" s="14">
        <f ca="1"/>
        <v>-10.799929719382613</v>
      </c>
      <c r="W944" s="12">
        <f ca="1"/>
        <v>-10.31006164906475</v>
      </c>
      <c r="X944" s="13">
        <f ca="1"/>
        <v>-9.8240324835045385</v>
      </c>
      <c r="Y944" s="13">
        <f ca="1"/>
        <v>-11.167497383709074</v>
      </c>
      <c r="Z944" s="13">
        <f ca="1"/>
        <v>-3.997368566216049</v>
      </c>
      <c r="AA944" s="13">
        <f ca="1"/>
        <v>-7.2228838871202425</v>
      </c>
      <c r="AB944" s="14">
        <f ca="1"/>
        <v>-9.0144616938611364</v>
      </c>
    </row>
    <row r="945" spans="4:28" ht="24" customHeight="1" x14ac:dyDescent="0.3">
      <c r="E945" s="18">
        <f ca="1"/>
        <v>0.86210367490717266</v>
      </c>
      <c r="F945" s="18">
        <f ca="1"/>
        <v>0.75858420037120089</v>
      </c>
      <c r="G945" s="18">
        <f ca="1"/>
        <v>0.78750819803714434</v>
      </c>
      <c r="H945" s="18">
        <f ca="1"/>
        <v>0.2585532317972854</v>
      </c>
      <c r="I945" s="18">
        <f ca="1"/>
        <v>0.15554151132236749</v>
      </c>
      <c r="J945" s="18">
        <f ca="1"/>
        <v>-0.41379179253221077</v>
      </c>
      <c r="O945" s="12">
        <f ca="1"/>
        <v>7.3109223187918468</v>
      </c>
      <c r="P945" s="13">
        <f ca="1"/>
        <v>5.075228129589533</v>
      </c>
      <c r="Q945" s="13">
        <f ca="1"/>
        <v>8.8247718315360331</v>
      </c>
      <c r="R945" s="13">
        <f ca="1"/>
        <v>1.6208361402779352</v>
      </c>
      <c r="S945" s="13">
        <f ca="1"/>
        <v>6.0228393977320698</v>
      </c>
      <c r="T945" s="14">
        <f ca="1"/>
        <v>5.3805725134299971</v>
      </c>
      <c r="W945" s="12">
        <f ca="1"/>
        <v>11.581664662461737</v>
      </c>
      <c r="X945" s="13">
        <f ca="1"/>
        <v>9.0830883161051776</v>
      </c>
      <c r="Y945" s="13">
        <f ca="1"/>
        <v>13.016272600355981</v>
      </c>
      <c r="Z945" s="13">
        <f ca="1"/>
        <v>6.5874159331883249</v>
      </c>
      <c r="AA945" s="13">
        <f ca="1"/>
        <v>9.6625648093092771</v>
      </c>
      <c r="AB945" s="14">
        <f ca="1"/>
        <v>9.0449337333932789</v>
      </c>
    </row>
    <row r="946" spans="4:28" ht="24" customHeight="1" x14ac:dyDescent="0.3">
      <c r="E946" s="18">
        <f ca="1"/>
        <v>-0.97869480560073407</v>
      </c>
      <c r="F946" s="18">
        <f ca="1"/>
        <v>0.62417802016476331</v>
      </c>
      <c r="G946" s="18">
        <f ca="1"/>
        <v>-0.26066212201894778</v>
      </c>
      <c r="H946" s="18">
        <f ca="1"/>
        <v>0.80382680311218824</v>
      </c>
      <c r="I946" s="18">
        <f ca="1"/>
        <v>0.50166063602564837</v>
      </c>
      <c r="J946" s="18">
        <f ca="1"/>
        <v>0.25500933371818491</v>
      </c>
      <c r="O946" s="12">
        <f ca="1"/>
        <v>-2.4580427484272471</v>
      </c>
      <c r="P946" s="13">
        <f ca="1"/>
        <v>-0.14063172552431477</v>
      </c>
      <c r="Q946" s="13">
        <f ca="1"/>
        <v>-2.6061403198412139</v>
      </c>
      <c r="R946" s="13">
        <f ca="1"/>
        <v>1.0945838815383433</v>
      </c>
      <c r="S946" s="13">
        <f ca="1"/>
        <v>2.4195970608678388</v>
      </c>
      <c r="T946" s="14">
        <f ca="1"/>
        <v>-1.1443854093827117</v>
      </c>
      <c r="W946" s="12">
        <f ca="1"/>
        <v>-6.1628842650333429</v>
      </c>
      <c r="X946" s="13">
        <f ca="1"/>
        <v>-3.9898872640227876</v>
      </c>
      <c r="Y946" s="13">
        <f ca="1"/>
        <v>-5.7129790953911224</v>
      </c>
      <c r="Z946" s="13">
        <f ca="1"/>
        <v>1.7329874389952127</v>
      </c>
      <c r="AA946" s="13">
        <f ca="1"/>
        <v>2.2871806508516754</v>
      </c>
      <c r="AB946" s="14">
        <f ca="1"/>
        <v>-5.6902623190715964</v>
      </c>
    </row>
    <row r="947" spans="4:28" ht="24" customHeight="1" x14ac:dyDescent="0.3">
      <c r="E947" s="18">
        <f ca="1"/>
        <v>-0.78443688662326805</v>
      </c>
      <c r="F947" s="18">
        <f ca="1"/>
        <v>0.95780304357983503</v>
      </c>
      <c r="G947" s="18">
        <f ca="1"/>
        <v>0.96684603225669852</v>
      </c>
      <c r="H947" s="18">
        <f ca="1"/>
        <v>-0.77370971561489865</v>
      </c>
      <c r="I947" s="18">
        <f ca="1"/>
        <v>0.17995959795195038</v>
      </c>
      <c r="J947" s="18">
        <f ca="1"/>
        <v>-0.38899395615203414</v>
      </c>
      <c r="O947" s="12">
        <f ca="1"/>
        <v>-1.9088261187228435</v>
      </c>
      <c r="P947" s="13">
        <f ca="1"/>
        <v>-0.6920154660134259</v>
      </c>
      <c r="Q947" s="13">
        <f ca="1"/>
        <v>0.31234972316212989</v>
      </c>
      <c r="R947" s="13">
        <f ca="1"/>
        <v>2.6908298879249344</v>
      </c>
      <c r="S947" s="13">
        <f ca="1"/>
        <v>7.2434554682829662</v>
      </c>
      <c r="T947" s="14">
        <f ca="1"/>
        <v>-1.1951766520782734</v>
      </c>
      <c r="W947" s="12">
        <f ca="1"/>
        <v>0.56319352857279625</v>
      </c>
      <c r="X947" s="13">
        <f ca="1"/>
        <v>1.8494962887856448</v>
      </c>
      <c r="Y947" s="13">
        <f ca="1"/>
        <v>2.664090999951493</v>
      </c>
      <c r="Z947" s="13">
        <f ca="1"/>
        <v>7.1209715439946972</v>
      </c>
      <c r="AA947" s="13">
        <f ca="1"/>
        <v>9.0789090451603975</v>
      </c>
      <c r="AB947" s="14">
        <f ca="1"/>
        <v>1.0457485270576388</v>
      </c>
    </row>
    <row r="948" spans="4:28" ht="24" customHeight="1" x14ac:dyDescent="0.3">
      <c r="E948" s="18">
        <f ca="1"/>
        <v>-0.3601641224131571</v>
      </c>
      <c r="F948" s="18">
        <f ca="1"/>
        <v>0.37876793419431642</v>
      </c>
      <c r="G948" s="18">
        <f ca="1"/>
        <v>-0.89376814404880633</v>
      </c>
      <c r="H948" s="18">
        <f ca="1"/>
        <v>0.14947157113578902</v>
      </c>
      <c r="I948" s="18">
        <f ca="1"/>
        <v>-0.48909310493224911</v>
      </c>
      <c r="J948" s="18">
        <f ca="1"/>
        <v>-2.1441164519394373E-2</v>
      </c>
      <c r="O948" s="15">
        <f ca="1"/>
        <v>-7.3711728443088091</v>
      </c>
      <c r="P948" s="16">
        <f ca="1"/>
        <v>-6.3334341692362504</v>
      </c>
      <c r="Q948" s="16">
        <f ca="1"/>
        <v>-9.4069933141627278</v>
      </c>
      <c r="R948" s="16">
        <f ca="1"/>
        <v>-3.1000637212252222</v>
      </c>
      <c r="S948" s="16">
        <f ca="1"/>
        <v>-9.2756932059671051</v>
      </c>
      <c r="T948" s="17">
        <f ca="1"/>
        <v>-6.0383051718927492</v>
      </c>
      <c r="W948" s="15">
        <f ca="1"/>
        <v>-12.315221371102723</v>
      </c>
      <c r="X948" s="16">
        <f ca="1"/>
        <v>-10.818073791896612</v>
      </c>
      <c r="Y948" s="16">
        <f ca="1"/>
        <v>-12.813371130331729</v>
      </c>
      <c r="Z948" s="16">
        <f ca="1"/>
        <v>-1.5244518964649676</v>
      </c>
      <c r="AA948" s="16">
        <f ca="1"/>
        <v>-10.050061362689551</v>
      </c>
      <c r="AB948" s="17">
        <f ca="1"/>
        <v>-8.918830947336339</v>
      </c>
    </row>
    <row r="950" spans="4:28" ht="24" customHeight="1" x14ac:dyDescent="0.3">
      <c r="D950" s="3" t="s">
        <v>235</v>
      </c>
    </row>
    <row r="951" spans="4:28" ht="24" customHeight="1" x14ac:dyDescent="0.3">
      <c r="O951" s="1" t="s">
        <v>236</v>
      </c>
    </row>
    <row r="952" spans="4:28" ht="24" customHeight="1" x14ac:dyDescent="0.3">
      <c r="D952" s="7" t="s">
        <v>145</v>
      </c>
      <c r="E952" s="18" cm="1">
        <f t="array" aca="1" ref="E952:L959" ca="1">(_xlfn.RANDARRAY(F867,F864)-0.5)*2</f>
        <v>-0.94297393596463319</v>
      </c>
      <c r="F952" s="18">
        <f ca="1"/>
        <v>-0.92609486381682382</v>
      </c>
      <c r="G952" s="18">
        <f ca="1"/>
        <v>0.1062341237042026</v>
      </c>
      <c r="H952" s="18">
        <f ca="1"/>
        <v>-0.96186438590857115</v>
      </c>
      <c r="I952" s="18">
        <f ca="1"/>
        <v>8.154781650020082E-2</v>
      </c>
      <c r="J952" s="18">
        <f ca="1"/>
        <v>0.10622415989030509</v>
      </c>
      <c r="K952" s="18">
        <f ca="1"/>
        <v>-0.81775441971557061</v>
      </c>
      <c r="L952" s="18">
        <f ca="1"/>
        <v>-0.72494933580753429</v>
      </c>
      <c r="O952" s="9" cm="1">
        <f t="array" aca="1" ref="O952:T959" ca="1">MMULT(_xlfn.ANCHORARRAY(E952),_xlfn.ANCHORARRAY(O918))</f>
        <v>0.12059694280520628</v>
      </c>
      <c r="P952" s="10">
        <f ca="1"/>
        <v>0.20090228018707967</v>
      </c>
      <c r="Q952" s="10">
        <f ca="1"/>
        <v>-0.4130557867404453</v>
      </c>
      <c r="R952" s="10">
        <f ca="1"/>
        <v>-2.1869165996134909</v>
      </c>
      <c r="S952" s="10">
        <f ca="1"/>
        <v>-1.185406003291569</v>
      </c>
      <c r="T952" s="11">
        <f ca="1"/>
        <v>-0.4357511249774878</v>
      </c>
    </row>
    <row r="953" spans="4:28" ht="24" customHeight="1" x14ac:dyDescent="0.3">
      <c r="E953" s="18">
        <f ca="1"/>
        <v>-0.8134282379237745</v>
      </c>
      <c r="F953" s="18">
        <f ca="1"/>
        <v>-0.58871371620982726</v>
      </c>
      <c r="G953" s="18">
        <f ca="1"/>
        <v>-0.21021413865238792</v>
      </c>
      <c r="H953" s="18">
        <f ca="1"/>
        <v>0.65786679068986809</v>
      </c>
      <c r="I953" s="18">
        <f ca="1"/>
        <v>-0.84634229304167308</v>
      </c>
      <c r="J953" s="18">
        <f ca="1"/>
        <v>0.98408832030599713</v>
      </c>
      <c r="K953" s="18">
        <f ca="1"/>
        <v>-0.12022028060275591</v>
      </c>
      <c r="L953" s="18">
        <f ca="1"/>
        <v>-3.3161229784943735E-2</v>
      </c>
      <c r="O953" s="12">
        <f ca="1"/>
        <v>-0.28633767999945486</v>
      </c>
      <c r="P953" s="13">
        <f ca="1"/>
        <v>-0.89836354207377067</v>
      </c>
      <c r="Q953" s="13">
        <f ca="1"/>
        <v>-0.64236413751246135</v>
      </c>
      <c r="R953" s="13">
        <f ca="1"/>
        <v>-2.0310493016654192</v>
      </c>
      <c r="S953" s="13">
        <f ca="1"/>
        <v>-1.6244866289751498</v>
      </c>
      <c r="T953" s="14">
        <f ca="1"/>
        <v>-1.4747850808765262</v>
      </c>
    </row>
    <row r="954" spans="4:28" ht="24" customHeight="1" x14ac:dyDescent="0.3">
      <c r="E954" s="18">
        <f ca="1"/>
        <v>0.63224908006829983</v>
      </c>
      <c r="F954" s="18">
        <f ca="1"/>
        <v>0.55610688217536852</v>
      </c>
      <c r="G954" s="18">
        <f ca="1"/>
        <v>-0.84648121970170909</v>
      </c>
      <c r="H954" s="18">
        <f ca="1"/>
        <v>0.44642965451212024</v>
      </c>
      <c r="I954" s="18">
        <f ca="1"/>
        <v>0.47622996620756952</v>
      </c>
      <c r="J954" s="18">
        <f ca="1"/>
        <v>-9.3874708945111962E-3</v>
      </c>
      <c r="K954" s="18">
        <f ca="1"/>
        <v>-8.8886413571611644E-2</v>
      </c>
      <c r="L954" s="18">
        <f ca="1"/>
        <v>0.95641245092205773</v>
      </c>
      <c r="O954" s="12">
        <f ca="1"/>
        <v>-6.4950215015221247E-2</v>
      </c>
      <c r="P954" s="13">
        <f ca="1"/>
        <v>0.10692329075238116</v>
      </c>
      <c r="Q954" s="13">
        <f ca="1"/>
        <v>0.28315655432812625</v>
      </c>
      <c r="R954" s="13">
        <f ca="1"/>
        <v>0.46350941369802034</v>
      </c>
      <c r="S954" s="13">
        <f ca="1"/>
        <v>2.7519611074518779E-2</v>
      </c>
      <c r="T954" s="14">
        <f ca="1"/>
        <v>0.32017465483825203</v>
      </c>
    </row>
    <row r="955" spans="4:28" ht="24" customHeight="1" x14ac:dyDescent="0.3">
      <c r="E955" s="18">
        <f ca="1"/>
        <v>0.87178229272753915</v>
      </c>
      <c r="F955" s="18">
        <f ca="1"/>
        <v>0.36063306921587612</v>
      </c>
      <c r="G955" s="18">
        <f ca="1"/>
        <v>-0.96644492127949544</v>
      </c>
      <c r="H955" s="18">
        <f ca="1"/>
        <v>0.15697648842038658</v>
      </c>
      <c r="I955" s="18">
        <f ca="1"/>
        <v>-0.17248743319236093</v>
      </c>
      <c r="J955" s="18">
        <f ca="1"/>
        <v>5.7036807884679686E-2</v>
      </c>
      <c r="K955" s="18">
        <f ca="1"/>
        <v>-0.46109608929727175</v>
      </c>
      <c r="L955" s="18">
        <f ca="1"/>
        <v>0.56112976778710744</v>
      </c>
      <c r="O955" s="12">
        <f ca="1"/>
        <v>-0.73833137957668904</v>
      </c>
      <c r="P955" s="13">
        <f ca="1"/>
        <v>-0.36646697825842678</v>
      </c>
      <c r="Q955" s="13">
        <f ca="1"/>
        <v>-0.62131622920063834</v>
      </c>
      <c r="R955" s="13">
        <f ca="1"/>
        <v>-1.2574268539819538</v>
      </c>
      <c r="S955" s="13">
        <f ca="1"/>
        <v>-1.4530170566305238</v>
      </c>
      <c r="T955" s="14">
        <f ca="1"/>
        <v>-0.47685680771810229</v>
      </c>
    </row>
    <row r="956" spans="4:28" ht="24" customHeight="1" x14ac:dyDescent="0.3">
      <c r="E956" s="18">
        <f ca="1"/>
        <v>-0.60721435880639385</v>
      </c>
      <c r="F956" s="18">
        <f ca="1"/>
        <v>0.68449739176443769</v>
      </c>
      <c r="G956" s="18">
        <f ca="1"/>
        <v>-0.24562819929629764</v>
      </c>
      <c r="H956" s="18">
        <f ca="1"/>
        <v>-0.83873214969159182</v>
      </c>
      <c r="I956" s="18">
        <f ca="1"/>
        <v>0.77690925577076442</v>
      </c>
      <c r="J956" s="18">
        <f ca="1"/>
        <v>0.47979729811123617</v>
      </c>
      <c r="K956" s="18">
        <f ca="1"/>
        <v>-0.27198031521748733</v>
      </c>
      <c r="L956" s="18">
        <f ca="1"/>
        <v>-0.35430245018175599</v>
      </c>
      <c r="O956" s="12">
        <f ca="1"/>
        <v>0.13767662555107102</v>
      </c>
      <c r="P956" s="13">
        <f ca="1"/>
        <v>0.23876841213935951</v>
      </c>
      <c r="Q956" s="13">
        <f ca="1"/>
        <v>-0.29845457568790806</v>
      </c>
      <c r="R956" s="13">
        <f ca="1"/>
        <v>-0.77483909137016016</v>
      </c>
      <c r="S956" s="13">
        <f ca="1"/>
        <v>-0.53737225262825739</v>
      </c>
      <c r="T956" s="14">
        <f ca="1"/>
        <v>-0.39067615741949846</v>
      </c>
    </row>
    <row r="957" spans="4:28" ht="24" customHeight="1" x14ac:dyDescent="0.3">
      <c r="E957" s="18">
        <f ca="1"/>
        <v>-0.72793595757759233</v>
      </c>
      <c r="F957" s="18">
        <f ca="1"/>
        <v>0.1010890096392858</v>
      </c>
      <c r="G957" s="18">
        <f ca="1"/>
        <v>-8.2864345354762392E-2</v>
      </c>
      <c r="H957" s="18">
        <f ca="1"/>
        <v>0.79653954526843851</v>
      </c>
      <c r="I957" s="18">
        <f ca="1"/>
        <v>0.39885417175314108</v>
      </c>
      <c r="J957" s="18">
        <f ca="1"/>
        <v>-0.61884465473391392</v>
      </c>
      <c r="K957" s="18">
        <f ca="1"/>
        <v>0.75971021111139736</v>
      </c>
      <c r="L957" s="18">
        <f ca="1"/>
        <v>0.32850769426175397</v>
      </c>
      <c r="O957" s="12">
        <f ca="1"/>
        <v>2.4914997196543105</v>
      </c>
      <c r="P957" s="13">
        <f ca="1"/>
        <v>2.0209247128860177</v>
      </c>
      <c r="Q957" s="13">
        <f ca="1"/>
        <v>2.5688433235443364</v>
      </c>
      <c r="R957" s="13">
        <f ca="1"/>
        <v>1.2829556885590212</v>
      </c>
      <c r="S957" s="13">
        <f ca="1"/>
        <v>1.5179835771217256</v>
      </c>
      <c r="T957" s="14">
        <f ca="1"/>
        <v>2.4637048358287834</v>
      </c>
    </row>
    <row r="958" spans="4:28" ht="24" customHeight="1" x14ac:dyDescent="0.3">
      <c r="E958" s="18">
        <f ca="1"/>
        <v>0.67594111696580894</v>
      </c>
      <c r="F958" s="18">
        <f ca="1"/>
        <v>-0.84731540663913885</v>
      </c>
      <c r="G958" s="18">
        <f ca="1"/>
        <v>0.89972018737645731</v>
      </c>
      <c r="H958" s="18">
        <f ca="1"/>
        <v>-0.94835243373478173</v>
      </c>
      <c r="I958" s="18">
        <f ca="1"/>
        <v>-0.33928011839616579</v>
      </c>
      <c r="J958" s="18">
        <f ca="1"/>
        <v>-0.80277312223004049</v>
      </c>
      <c r="K958" s="18">
        <f ca="1"/>
        <v>-0.54366912582083016</v>
      </c>
      <c r="L958" s="18">
        <f ca="1"/>
        <v>-0.62541402628564402</v>
      </c>
      <c r="O958" s="12">
        <f ca="1"/>
        <v>-1.2535128841342629</v>
      </c>
      <c r="P958" s="13">
        <f ca="1"/>
        <v>-0.68386881131532762</v>
      </c>
      <c r="Q958" s="13">
        <f ca="1"/>
        <v>-1.1056906473789778</v>
      </c>
      <c r="R958" s="13">
        <f ca="1"/>
        <v>8.3539332464743044E-2</v>
      </c>
      <c r="S958" s="13">
        <f ca="1"/>
        <v>0.16001720411249781</v>
      </c>
      <c r="T958" s="14">
        <f ca="1"/>
        <v>-0.33652922141789698</v>
      </c>
    </row>
    <row r="959" spans="4:28" ht="24" customHeight="1" x14ac:dyDescent="0.3">
      <c r="E959" s="18">
        <f ca="1"/>
        <v>-0.29108093888681852</v>
      </c>
      <c r="F959" s="18">
        <f ca="1"/>
        <v>-0.20031414952432458</v>
      </c>
      <c r="G959" s="18">
        <f ca="1"/>
        <v>-0.44788469218203186</v>
      </c>
      <c r="H959" s="18">
        <f ca="1"/>
        <v>0.28488891171073627</v>
      </c>
      <c r="I959" s="18">
        <f ca="1"/>
        <v>-0.82808566951900353</v>
      </c>
      <c r="J959" s="18">
        <f ca="1"/>
        <v>0.37788978710968824</v>
      </c>
      <c r="K959" s="18">
        <f ca="1"/>
        <v>-0.64405573288600459</v>
      </c>
      <c r="L959" s="18">
        <f ca="1"/>
        <v>-0.55054531312553578</v>
      </c>
      <c r="O959" s="15">
        <f ca="1"/>
        <v>0.15850123829238905</v>
      </c>
      <c r="P959" s="16">
        <f ca="1"/>
        <v>-9.23206598889873E-2</v>
      </c>
      <c r="Q959" s="16">
        <f ca="1"/>
        <v>-0.37757908103914295</v>
      </c>
      <c r="R959" s="16">
        <f ca="1"/>
        <v>-3.4169756403521552</v>
      </c>
      <c r="S959" s="16">
        <f ca="1"/>
        <v>-2.3383752096281958</v>
      </c>
      <c r="T959" s="17">
        <f ca="1"/>
        <v>-0.74232891785522293</v>
      </c>
    </row>
    <row r="961" spans="14:20" ht="24" customHeight="1" x14ac:dyDescent="0.3">
      <c r="N961" s="7" t="s">
        <v>170</v>
      </c>
      <c r="O961" s="9" cm="1">
        <f t="array" aca="1" ref="O961:T968" ca="1">1/(1+EXP(-_xlfn.ANCHORARRAY(O952)))</f>
        <v>0.53011274883998549</v>
      </c>
      <c r="P961" s="10">
        <f ca="1"/>
        <v>0.55005731655548173</v>
      </c>
      <c r="Q961" s="10">
        <f ca="1"/>
        <v>0.39817962765496923</v>
      </c>
      <c r="R961" s="10">
        <f ca="1"/>
        <v>0.10093155070819206</v>
      </c>
      <c r="S961" s="10">
        <f ca="1"/>
        <v>0.23408157505054206</v>
      </c>
      <c r="T961" s="11">
        <f ca="1"/>
        <v>0.39275385550118136</v>
      </c>
    </row>
    <row r="962" spans="14:20" ht="24" customHeight="1" x14ac:dyDescent="0.3">
      <c r="O962" s="12">
        <f ca="1"/>
        <v>0.42890069910895351</v>
      </c>
      <c r="P962" s="13">
        <f ca="1"/>
        <v>0.28938690603834366</v>
      </c>
      <c r="Q962" s="13">
        <f ca="1"/>
        <v>0.34471231857658563</v>
      </c>
      <c r="R962" s="13">
        <f ca="1"/>
        <v>0.11598129419477758</v>
      </c>
      <c r="S962" s="13">
        <f ca="1"/>
        <v>0.16458703830622118</v>
      </c>
      <c r="T962" s="14">
        <f ca="1"/>
        <v>0.186216394516656</v>
      </c>
    </row>
    <row r="963" spans="14:20" ht="24" customHeight="1" x14ac:dyDescent="0.3">
      <c r="O963" s="12">
        <f ca="1"/>
        <v>0.48376815205707874</v>
      </c>
      <c r="P963" s="13">
        <f ca="1"/>
        <v>0.52670538489144225</v>
      </c>
      <c r="Q963" s="13">
        <f ca="1"/>
        <v>0.57031992479649929</v>
      </c>
      <c r="R963" s="13">
        <f ca="1"/>
        <v>0.61384637570044764</v>
      </c>
      <c r="S963" s="13">
        <f ca="1"/>
        <v>0.50687946860569</v>
      </c>
      <c r="T963" s="14">
        <f ca="1"/>
        <v>0.57936681628140796</v>
      </c>
    </row>
    <row r="964" spans="14:20" ht="24" customHeight="1" x14ac:dyDescent="0.3">
      <c r="O964" s="12">
        <f ca="1"/>
        <v>0.32336913281649921</v>
      </c>
      <c r="P964" s="13">
        <f ca="1"/>
        <v>0.40939499923216677</v>
      </c>
      <c r="Q964" s="13">
        <f ca="1"/>
        <v>0.34948215486463646</v>
      </c>
      <c r="R964" s="13">
        <f ca="1"/>
        <v>0.22141716299051786</v>
      </c>
      <c r="S964" s="13">
        <f ca="1"/>
        <v>0.18953767229425378</v>
      </c>
      <c r="T964" s="14">
        <f ca="1"/>
        <v>0.38299461850550492</v>
      </c>
    </row>
    <row r="965" spans="14:20" ht="24" customHeight="1" x14ac:dyDescent="0.3">
      <c r="O965" s="12">
        <f ca="1"/>
        <v>0.53436489173851054</v>
      </c>
      <c r="P965" s="13">
        <f ca="1"/>
        <v>0.55941012151553138</v>
      </c>
      <c r="Q965" s="13">
        <f ca="1"/>
        <v>0.42593531839947696</v>
      </c>
      <c r="R965" s="13">
        <f ca="1"/>
        <v>0.31543324446775745</v>
      </c>
      <c r="S965" s="13">
        <f ca="1"/>
        <v>0.36879907472534496</v>
      </c>
      <c r="T965" s="14">
        <f ca="1"/>
        <v>0.40355454017208464</v>
      </c>
    </row>
    <row r="966" spans="14:20" ht="24" customHeight="1" x14ac:dyDescent="0.3">
      <c r="O966" s="12">
        <f ca="1"/>
        <v>0.92354376615784506</v>
      </c>
      <c r="P966" s="13">
        <f ca="1"/>
        <v>0.88297659256030459</v>
      </c>
      <c r="Q966" s="13">
        <f ca="1"/>
        <v>0.92882927120744052</v>
      </c>
      <c r="R966" s="13">
        <f ca="1"/>
        <v>0.78295247996714834</v>
      </c>
      <c r="S966" s="13">
        <f ca="1"/>
        <v>0.82024136013496218</v>
      </c>
      <c r="T966" s="14">
        <f ca="1"/>
        <v>0.92155790009969007</v>
      </c>
    </row>
    <row r="967" spans="14:20" ht="24" customHeight="1" x14ac:dyDescent="0.3">
      <c r="O967" s="12">
        <f ca="1"/>
        <v>0.22209263417407074</v>
      </c>
      <c r="P967" s="13">
        <f ca="1"/>
        <v>0.33539837171565234</v>
      </c>
      <c r="Q967" s="13">
        <f ca="1"/>
        <v>0.24867515770053106</v>
      </c>
      <c r="R967" s="13">
        <f ca="1"/>
        <v>0.52087269562894256</v>
      </c>
      <c r="S967" s="13">
        <f ca="1"/>
        <v>0.53991915817119751</v>
      </c>
      <c r="T967" s="14">
        <f ca="1"/>
        <v>0.41665281626102602</v>
      </c>
    </row>
    <row r="968" spans="14:20" ht="24" customHeight="1" x14ac:dyDescent="0.3">
      <c r="O968" s="15">
        <f ca="1"/>
        <v>0.53954255974897736</v>
      </c>
      <c r="P968" s="16">
        <f ca="1"/>
        <v>0.47693621395562957</v>
      </c>
      <c r="Q968" s="16">
        <f ca="1"/>
        <v>0.40671092572279083</v>
      </c>
      <c r="R968" s="16">
        <f ca="1"/>
        <v>3.1769125600474242E-2</v>
      </c>
      <c r="S968" s="16">
        <f ca="1"/>
        <v>8.7994219008293018E-2</v>
      </c>
      <c r="T968" s="17">
        <f ca="1"/>
        <v>0.32249508361809265</v>
      </c>
    </row>
    <row r="970" spans="14:20" ht="24" customHeight="1" x14ac:dyDescent="0.3">
      <c r="N970" s="7" t="s">
        <v>237</v>
      </c>
      <c r="O970" s="8">
        <f ca="1">MATCH(LARGE(O952:O959,1),O952:O959,0)</f>
        <v>6</v>
      </c>
      <c r="P970" s="8">
        <f ca="1">MATCH(LARGE(P952:P959,1),P952:P959,0)</f>
        <v>6</v>
      </c>
      <c r="Q970" s="8">
        <f ca="1">MATCH(LARGE(Q952:Q959,1),Q952:Q959,0)</f>
        <v>6</v>
      </c>
      <c r="R970" s="8">
        <f ca="1">MATCH(LARGE(R952:R959,1),R952:R959,0)</f>
        <v>6</v>
      </c>
      <c r="S970" s="8">
        <f ca="1">MATCH(LARGE(S952:S959,1),S952:S959,0)</f>
        <v>6</v>
      </c>
      <c r="T970" s="8">
        <f ca="1">MATCH(LARGE(T952:T959,1),T952:T959,0)</f>
        <v>6</v>
      </c>
    </row>
    <row r="971" spans="14:20" ht="24" customHeight="1" x14ac:dyDescent="0.3">
      <c r="N971" s="7" t="s">
        <v>238</v>
      </c>
      <c r="O971" s="8">
        <f ca="1">MATCH(LARGE(O952:O959,2),O952:O959,0)</f>
        <v>8</v>
      </c>
      <c r="P971" s="8">
        <f ca="1">MATCH(LARGE(P952:P959,2),P952:P959,0)</f>
        <v>5</v>
      </c>
      <c r="Q971" s="8">
        <f ca="1">MATCH(LARGE(Q952:Q959,2),Q952:Q959,0)</f>
        <v>3</v>
      </c>
      <c r="R971" s="8">
        <f ca="1">MATCH(LARGE(R952:R959,2),R952:R959,0)</f>
        <v>3</v>
      </c>
      <c r="S971" s="8">
        <f ca="1">MATCH(LARGE(S952:S959,2),S952:S959,0)</f>
        <v>7</v>
      </c>
      <c r="T971" s="8">
        <f ca="1">MATCH(LARGE(T952:T959,2),T952:T959,0)</f>
        <v>3</v>
      </c>
    </row>
    <row r="973" spans="14:20" ht="24" customHeight="1" x14ac:dyDescent="0.3">
      <c r="N973" s="7" t="s">
        <v>158</v>
      </c>
      <c r="O973" s="8" cm="1">
        <f t="array" aca="1" ref="O973" ca="1">INDEX(O961:O968,O970)/(INDEX(O961:O968,O970)+INDEX(O961:O968,O971))*$F$871</f>
        <v>0.4734223896112717</v>
      </c>
      <c r="P973" s="8" cm="1">
        <f t="array" aca="1" ref="P973" ca="1">INDEX(P961:P968,P970)/(INDEX(P961:P968,P970)+INDEX(P961:P968,P971))*$F$871</f>
        <v>0.45912267352277514</v>
      </c>
      <c r="Q973" s="8" cm="1">
        <f t="array" aca="1" ref="Q973" ca="1">INDEX(Q961:Q968,Q970)/(INDEX(Q961:Q968,Q970)+INDEX(Q961:Q968,Q971))*$F$871</f>
        <v>0.46467820231799639</v>
      </c>
      <c r="R973" s="8" cm="1">
        <f t="array" aca="1" ref="R973" ca="1">INDEX(R961:R968,R970)/(INDEX(R961:R968,R970)+INDEX(R961:R968,R971))*$F$871</f>
        <v>0.42040008666437789</v>
      </c>
      <c r="S973" s="8" cm="1">
        <f t="array" aca="1" ref="S973" ca="1">INDEX(S961:S968,S970)/(INDEX(S961:S968,S970)+INDEX(S961:S968,S971))*$F$871</f>
        <v>0.45228560292819053</v>
      </c>
      <c r="T973" s="8" cm="1">
        <f t="array" aca="1" ref="T973" ca="1">INDEX(T961:T968,T970)/(INDEX(T961:T968,T970)+INDEX(T961:T968,T971))*$F$871</f>
        <v>0.46049506516306432</v>
      </c>
    </row>
    <row r="974" spans="14:20" ht="24" customHeight="1" x14ac:dyDescent="0.3">
      <c r="N974" s="7" t="s">
        <v>159</v>
      </c>
      <c r="O974" s="8" cm="1">
        <f t="array" aca="1" ref="O974" ca="1">INDEX(O961:O968,O971)/(INDEX(O961:O968,O971)+INDEX(O961:O968,O970))*$F$871</f>
        <v>0.27657761038872825</v>
      </c>
      <c r="P974" s="8" cm="1">
        <f t="array" aca="1" ref="P974" ca="1">INDEX(P961:P968,P971)/(INDEX(P961:P968,P971)+INDEX(P961:P968,P970))*$F$871</f>
        <v>0.29087732647722486</v>
      </c>
      <c r="Q974" s="8" cm="1">
        <f t="array" aca="1" ref="Q974" ca="1">INDEX(Q961:Q968,Q971)/(INDEX(Q961:Q968,Q971)+INDEX(Q961:Q968,Q970))*$F$871</f>
        <v>0.28532179768200361</v>
      </c>
      <c r="R974" s="8" cm="1">
        <f t="array" aca="1" ref="R974" ca="1">INDEX(R961:R968,R971)/(INDEX(R961:R968,R971)+INDEX(R961:R968,R970))*$F$871</f>
        <v>0.32959991333562211</v>
      </c>
      <c r="S974" s="8" cm="1">
        <f t="array" aca="1" ref="S974" ca="1">INDEX(S961:S968,S971)/(INDEX(S961:S968,S971)+INDEX(S961:S968,S970))*$F$871</f>
        <v>0.29771439707180941</v>
      </c>
      <c r="T974" s="8" cm="1">
        <f t="array" aca="1" ref="T974" ca="1">INDEX(T961:T968,T971)/(INDEX(T961:T968,T971)+INDEX(T961:T968,T970))*$F$871</f>
        <v>0.28950493483693573</v>
      </c>
    </row>
    <row r="977" spans="4:22" ht="24" customHeight="1" x14ac:dyDescent="0.3">
      <c r="D977" s="3" t="s">
        <v>239</v>
      </c>
      <c r="O977" s="8" t="str" cm="1">
        <f t="array" ref="O977:V977">"e"&amp;_xlfn.SEQUENCE(1,F867,1)</f>
        <v>e1</v>
      </c>
      <c r="P977" s="8" t="str">
        <v>e2</v>
      </c>
      <c r="Q977" s="8" t="str">
        <v>e3</v>
      </c>
      <c r="R977" s="8" t="str">
        <v>e4</v>
      </c>
      <c r="S977" s="8" t="str">
        <v>e5</v>
      </c>
      <c r="T977" s="8" t="str">
        <v>e6</v>
      </c>
      <c r="U977" s="8" t="str">
        <v>e7</v>
      </c>
      <c r="V977" s="8" t="str">
        <v>e8</v>
      </c>
    </row>
    <row r="978" spans="4:22" ht="24" customHeight="1" x14ac:dyDescent="0.3">
      <c r="N978" s="7" t="s">
        <v>240</v>
      </c>
      <c r="O978" s="8">
        <f ca="1">COUNTIF($O$970:$T$971,1)</f>
        <v>0</v>
      </c>
      <c r="P978" s="8">
        <f ca="1">COUNTIF($O$970:$T$971,2)</f>
        <v>0</v>
      </c>
      <c r="Q978" s="8">
        <f ca="1">COUNTIF($O$970:$T$971,3)</f>
        <v>3</v>
      </c>
      <c r="R978" s="8">
        <f ca="1">COUNTIF($O$970:$T$971,4)</f>
        <v>0</v>
      </c>
      <c r="S978" s="8">
        <f ca="1">COUNTIF($O$970:$T$971,5)</f>
        <v>1</v>
      </c>
      <c r="T978" s="8">
        <f ca="1">COUNTIF($O$970:$T$971,6)</f>
        <v>6</v>
      </c>
      <c r="U978" s="8">
        <f ca="1">COUNTIF($O$970:$T$971,7)</f>
        <v>1</v>
      </c>
      <c r="V978" s="8">
        <f ca="1">COUNTIF($O$970:$T$971,8)</f>
        <v>1</v>
      </c>
    </row>
    <row r="979" spans="4:22" ht="24" customHeight="1" x14ac:dyDescent="0.3">
      <c r="N979" s="7" t="s">
        <v>241</v>
      </c>
      <c r="O979" s="8" cm="1">
        <f t="array" aca="1" ref="O979:V979" ca="1">O978:V978*F867/(F863*F868)</f>
        <v>0</v>
      </c>
      <c r="P979" s="8">
        <f ca="1"/>
        <v>0</v>
      </c>
      <c r="Q979" s="8">
        <f ca="1"/>
        <v>2</v>
      </c>
      <c r="R979" s="8">
        <f ca="1"/>
        <v>0</v>
      </c>
      <c r="S979" s="8">
        <f ca="1"/>
        <v>0.66666666666666663</v>
      </c>
      <c r="T979" s="8">
        <f ca="1"/>
        <v>4</v>
      </c>
      <c r="U979" s="8">
        <f ca="1"/>
        <v>0.66666666666666663</v>
      </c>
      <c r="V979" s="8">
        <f ca="1"/>
        <v>0.66666666666666663</v>
      </c>
    </row>
    <row r="980" spans="4:22" ht="24" customHeight="1" x14ac:dyDescent="0.3">
      <c r="N980" s="7" t="s">
        <v>242</v>
      </c>
      <c r="O980" s="8" cm="1">
        <f t="array" aca="1" ref="O980:V980" ca="1">TRANSPOSE(MMULT(_xlfn.ANCHORARRAY(O961),_xlfn.SEQUENCE(F863,1,1,0))/F863)</f>
        <v>0.36768611238505861</v>
      </c>
      <c r="P980" s="8">
        <f ca="1"/>
        <v>0.25496410845692291</v>
      </c>
      <c r="Q980" s="8">
        <f ca="1"/>
        <v>0.5468143537220943</v>
      </c>
      <c r="R980" s="8">
        <f ca="1"/>
        <v>0.31269929011726322</v>
      </c>
      <c r="S980" s="8">
        <f ca="1"/>
        <v>0.43458286516978428</v>
      </c>
      <c r="T980" s="8">
        <f ca="1"/>
        <v>0.8766835616878984</v>
      </c>
      <c r="U980" s="8">
        <f ca="1"/>
        <v>0.38060180560857004</v>
      </c>
      <c r="V980" s="8">
        <f ca="1"/>
        <v>0.31090802127570955</v>
      </c>
    </row>
    <row r="981" spans="4:22" ht="24" customHeight="1" x14ac:dyDescent="0.3">
      <c r="N981" s="7" t="s">
        <v>243</v>
      </c>
      <c r="O981" s="19" cm="1">
        <f t="array" aca="1" ref="O981:V981" ca="1">_xlfn.ANCHORARRAY(O979)*_xlfn.ANCHORARRAY(O980)</f>
        <v>0</v>
      </c>
      <c r="P981" s="20">
        <f ca="1"/>
        <v>0</v>
      </c>
      <c r="Q981" s="20">
        <f ca="1"/>
        <v>1.0936287074441886</v>
      </c>
      <c r="R981" s="20">
        <f ca="1"/>
        <v>0</v>
      </c>
      <c r="S981" s="20">
        <f ca="1"/>
        <v>0.28972191011318948</v>
      </c>
      <c r="T981" s="20">
        <f ca="1"/>
        <v>3.5067342467515936</v>
      </c>
      <c r="U981" s="20">
        <f ca="1"/>
        <v>0.25373453707238003</v>
      </c>
      <c r="V981" s="21">
        <f ca="1"/>
        <v>0.20727201418380636</v>
      </c>
    </row>
    <row r="983" spans="4:22" ht="24" customHeight="1" x14ac:dyDescent="0.3">
      <c r="N983" s="7" t="s">
        <v>244</v>
      </c>
      <c r="O983" s="29">
        <f ca="1">F870*SUM(_xlfn.ANCHORARRAY(O981))</f>
        <v>5.3510914155651583E-4</v>
      </c>
    </row>
    <row r="985" spans="4:22" ht="24" customHeight="1" x14ac:dyDescent="0.3">
      <c r="D985" s="1" t="s">
        <v>245</v>
      </c>
    </row>
    <row r="986" spans="4:22" ht="24" customHeight="1" x14ac:dyDescent="0.3">
      <c r="D986" s="1" t="s">
        <v>246</v>
      </c>
    </row>
    <row r="989" spans="4:22" ht="24" customHeight="1" x14ac:dyDescent="0.3">
      <c r="D989" s="3" t="s">
        <v>247</v>
      </c>
    </row>
    <row r="990" spans="4:22" ht="24" customHeight="1" x14ac:dyDescent="0.3">
      <c r="N990" s="7" t="s">
        <v>248</v>
      </c>
      <c r="P990" s="8">
        <f>3*F865*F864+F864*F865</f>
        <v>128</v>
      </c>
    </row>
    <row r="991" spans="4:22" ht="24" customHeight="1" x14ac:dyDescent="0.3">
      <c r="N991" s="7" t="s">
        <v>249</v>
      </c>
      <c r="P991" s="8">
        <f>2*F866*F864+F864*F866</f>
        <v>144</v>
      </c>
    </row>
    <row r="992" spans="4:22" ht="24" customHeight="1" x14ac:dyDescent="0.3">
      <c r="N992" s="7" t="s">
        <v>250</v>
      </c>
      <c r="P992" s="8">
        <f>(F867+1)*P991+F867*F864</f>
        <v>1360</v>
      </c>
    </row>
    <row r="993" spans="14:16" ht="24" customHeight="1" x14ac:dyDescent="0.3">
      <c r="N993" s="7" t="s">
        <v>251</v>
      </c>
      <c r="P993" s="8">
        <f>(F868+1)*P991+F867*F864</f>
        <v>496</v>
      </c>
    </row>
    <row r="994" spans="14:16" ht="24" customHeight="1" x14ac:dyDescent="0.3">
      <c r="N994" s="7" t="s">
        <v>252</v>
      </c>
      <c r="P994" s="8">
        <f>P990+P992+2*F864</f>
        <v>1504</v>
      </c>
    </row>
    <row r="995" spans="14:16" ht="24" customHeight="1" x14ac:dyDescent="0.3">
      <c r="N995" s="7" t="s">
        <v>253</v>
      </c>
      <c r="P995" s="8">
        <f>P990+P993+2*F864</f>
        <v>640</v>
      </c>
    </row>
    <row r="996" spans="14:16" ht="24" customHeight="1" x14ac:dyDescent="0.3">
      <c r="N996" s="7" t="s">
        <v>254</v>
      </c>
      <c r="P996" s="8">
        <f>P995/P994</f>
        <v>0.42553191489361702</v>
      </c>
    </row>
    <row r="1010" spans="1:46" ht="48" customHeight="1" thickBot="1" x14ac:dyDescent="0.95">
      <c r="A1010" s="5" t="s">
        <v>255</v>
      </c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</row>
    <row r="1011" spans="1:46" ht="24" customHeight="1" thickTop="1" x14ac:dyDescent="0.3"/>
    <row r="1012" spans="1:46" ht="24" customHeight="1" x14ac:dyDescent="0.3">
      <c r="N1012" s="3" t="s">
        <v>262</v>
      </c>
    </row>
    <row r="1013" spans="1:46" ht="24" customHeight="1" x14ac:dyDescent="0.3">
      <c r="E1013" s="7" t="s">
        <v>4</v>
      </c>
      <c r="F1013" s="8">
        <v>6</v>
      </c>
      <c r="N1013" s="7" t="s">
        <v>8</v>
      </c>
      <c r="O1013" s="8" cm="1">
        <f t="array" ref="O1013:T1013">_xlfn.SEQUENCE(1,F1013,1)</f>
        <v>1</v>
      </c>
      <c r="P1013" s="8">
        <v>2</v>
      </c>
      <c r="Q1013" s="8">
        <v>3</v>
      </c>
      <c r="R1013" s="8">
        <v>4</v>
      </c>
      <c r="S1013" s="8">
        <v>5</v>
      </c>
      <c r="T1013" s="8">
        <v>6</v>
      </c>
    </row>
    <row r="1014" spans="1:46" ht="24" customHeight="1" x14ac:dyDescent="0.3">
      <c r="E1014" s="7" t="s">
        <v>5</v>
      </c>
      <c r="F1014" s="8">
        <v>8</v>
      </c>
      <c r="N1014" s="7" t="s">
        <v>263</v>
      </c>
      <c r="O1014" s="19">
        <v>3</v>
      </c>
      <c r="P1014" s="20">
        <v>1</v>
      </c>
      <c r="Q1014" s="20">
        <v>4</v>
      </c>
      <c r="R1014" s="20">
        <v>1</v>
      </c>
      <c r="S1014" s="20">
        <v>5</v>
      </c>
      <c r="T1014" s="21">
        <v>2</v>
      </c>
    </row>
    <row r="1015" spans="1:46" ht="24" customHeight="1" x14ac:dyDescent="0.3">
      <c r="E1015" s="7" t="s">
        <v>256</v>
      </c>
      <c r="F1015" s="8">
        <v>6</v>
      </c>
    </row>
    <row r="1016" spans="1:46" ht="24" customHeight="1" x14ac:dyDescent="0.3">
      <c r="E1016" s="7" t="s">
        <v>257</v>
      </c>
      <c r="F1016" s="8">
        <v>2</v>
      </c>
      <c r="N1016" s="7" t="s">
        <v>264</v>
      </c>
      <c r="O1016" s="8" cm="1">
        <f t="array" ref="O1016:R1016">_xlfn.SEQUENCE(1,F1017,1)</f>
        <v>1</v>
      </c>
      <c r="P1016" s="8">
        <v>2</v>
      </c>
      <c r="Q1016" s="8">
        <v>3</v>
      </c>
      <c r="R1016" s="8">
        <v>4</v>
      </c>
    </row>
    <row r="1017" spans="1:46" ht="24" customHeight="1" x14ac:dyDescent="0.3">
      <c r="E1017" s="7" t="s">
        <v>258</v>
      </c>
      <c r="F1017" s="8">
        <f>F1013-F1016</f>
        <v>4</v>
      </c>
      <c r="N1017" s="7" t="s">
        <v>265</v>
      </c>
      <c r="O1017" s="8" t="str" cm="1">
        <f t="array" ref="O1017:R1017">"h"&amp;_xlfn.ANCHORARRAY(O1016)</f>
        <v>h1</v>
      </c>
      <c r="P1017" s="8" t="str">
        <v>h2</v>
      </c>
      <c r="Q1017" s="8" t="str">
        <v>h3</v>
      </c>
      <c r="R1017" s="8" t="str">
        <v>h4</v>
      </c>
      <c r="V1017" s="1" t="s">
        <v>268</v>
      </c>
    </row>
    <row r="1018" spans="1:46" ht="24" customHeight="1" x14ac:dyDescent="0.3">
      <c r="E1018" s="7" t="s">
        <v>6</v>
      </c>
      <c r="F1018" s="8">
        <v>4</v>
      </c>
      <c r="N1018" s="7" t="s">
        <v>266</v>
      </c>
      <c r="O1018" s="19" cm="1">
        <f t="array" ref="O1018:R1018">P1014:S1014</f>
        <v>1</v>
      </c>
      <c r="P1018" s="20">
        <v>4</v>
      </c>
      <c r="Q1018" s="20">
        <v>1</v>
      </c>
      <c r="R1018" s="21">
        <v>5</v>
      </c>
      <c r="V1018" s="1" t="s">
        <v>269</v>
      </c>
    </row>
    <row r="1019" spans="1:46" ht="24" customHeight="1" x14ac:dyDescent="0.3">
      <c r="E1019" s="7" t="s">
        <v>133</v>
      </c>
      <c r="F1019" s="8">
        <v>6</v>
      </c>
      <c r="N1019" s="7" t="s">
        <v>267</v>
      </c>
      <c r="O1019" s="19" cm="1">
        <f t="array" ref="O1019:R1019">Q1014:T1014</f>
        <v>4</v>
      </c>
      <c r="P1019" s="20">
        <v>1</v>
      </c>
      <c r="Q1019" s="20">
        <v>5</v>
      </c>
      <c r="R1019" s="21">
        <v>2</v>
      </c>
      <c r="V1019" s="1" t="s">
        <v>270</v>
      </c>
    </row>
    <row r="1020" spans="1:46" ht="24" customHeight="1" x14ac:dyDescent="0.3">
      <c r="E1020" s="7" t="s">
        <v>211</v>
      </c>
      <c r="F1020" s="28">
        <v>9.9999999999999995E-7</v>
      </c>
    </row>
    <row r="1021" spans="1:46" ht="24" customHeight="1" x14ac:dyDescent="0.3">
      <c r="E1021" s="7" t="s">
        <v>259</v>
      </c>
      <c r="F1021" s="8">
        <v>0.3</v>
      </c>
    </row>
    <row r="1022" spans="1:46" ht="24" customHeight="1" x14ac:dyDescent="0.3">
      <c r="E1022" s="7" t="s">
        <v>260</v>
      </c>
      <c r="F1022" s="8">
        <v>0.1</v>
      </c>
    </row>
    <row r="1023" spans="1:46" ht="24" customHeight="1" x14ac:dyDescent="0.3">
      <c r="E1023" s="7" t="s">
        <v>261</v>
      </c>
      <c r="F1023" s="8">
        <v>0.67569999999999997</v>
      </c>
    </row>
    <row r="1024" spans="1:46" ht="24" customHeight="1" x14ac:dyDescent="0.3">
      <c r="D1024" s="3" t="s">
        <v>271</v>
      </c>
    </row>
    <row r="1025" spans="4:20" ht="24" customHeight="1" x14ac:dyDescent="0.3">
      <c r="D1025" s="7" t="s">
        <v>272</v>
      </c>
      <c r="E1025" s="18" cm="1">
        <f t="array" aca="1" ref="E1025:J1032" ca="1">_xlfn.LET(_xlpm.r,(_xlfn.RANDARRAY(F1014,F1015)-0.5)*2,_xlpm.r/SQRT(MMULT(TRANSPOSE(_xlfn.SEQUENCE(F1014,1,1,0)),_xlpm.r*_xlpm.r)))</f>
        <v>-0.21985959435731553</v>
      </c>
      <c r="F1025" s="18">
        <f ca="1"/>
        <v>-0.56031380859510527</v>
      </c>
      <c r="G1025" s="18">
        <f ca="1"/>
        <v>0.50587813512726054</v>
      </c>
      <c r="H1025" s="18">
        <f ca="1"/>
        <v>-0.22177908154549303</v>
      </c>
      <c r="I1025" s="18">
        <f ca="1"/>
        <v>-0.58068012051211726</v>
      </c>
      <c r="J1025" s="18">
        <f ca="1"/>
        <v>-0.11162126299880321</v>
      </c>
      <c r="N1025" s="7" t="s">
        <v>273</v>
      </c>
      <c r="O1025" s="9" cm="1">
        <f t="array" aca="1" ref="O1025:O1032" ca="1">MMULT(_xlfn.ANCHORARRAY($E$1025),IF(_xlfn.SEQUENCE($F$1015,1)=O1018,1,0))</f>
        <v>-0.21985959435731553</v>
      </c>
      <c r="P1025" s="10" cm="1">
        <f t="array" aca="1" ref="P1025:P1032" ca="1">MMULT(_xlfn.ANCHORARRAY($E$1025),IF(_xlfn.SEQUENCE($F$1015,1)=P1018,1,0))</f>
        <v>-0.22177908154549303</v>
      </c>
      <c r="Q1025" s="10" cm="1">
        <f t="array" aca="1" ref="Q1025:Q1032" ca="1">MMULT(_xlfn.ANCHORARRAY($E$1025),IF(_xlfn.SEQUENCE($F$1015,1)=Q1018,1,0))</f>
        <v>-0.21985959435731553</v>
      </c>
      <c r="R1025" s="11" cm="1">
        <f t="array" aca="1" ref="R1025:R1032" ca="1">MMULT(_xlfn.ANCHORARRAY($E$1025),IF(_xlfn.SEQUENCE($F$1015,1)=R1018,1,0))</f>
        <v>-0.58068012051211726</v>
      </c>
    </row>
    <row r="1026" spans="4:20" ht="24" customHeight="1" x14ac:dyDescent="0.3">
      <c r="E1026" s="18">
        <f ca="1"/>
        <v>-0.58479596370250442</v>
      </c>
      <c r="F1026" s="18">
        <f ca="1"/>
        <v>9.2800794071559306E-2</v>
      </c>
      <c r="G1026" s="18">
        <f ca="1"/>
        <v>8.9407580266949963E-2</v>
      </c>
      <c r="H1026" s="18">
        <f ca="1"/>
        <v>5.7803544250110771E-2</v>
      </c>
      <c r="I1026" s="18">
        <f ca="1"/>
        <v>0.1281243160877239</v>
      </c>
      <c r="J1026" s="18">
        <f ca="1"/>
        <v>0.45836076822378929</v>
      </c>
      <c r="O1026" s="12">
        <f ca="1"/>
        <v>-0.58479596370250442</v>
      </c>
      <c r="P1026" s="13">
        <f ca="1"/>
        <v>5.7803544250110771E-2</v>
      </c>
      <c r="Q1026" s="13">
        <f ca="1"/>
        <v>-0.58479596370250442</v>
      </c>
      <c r="R1026" s="14">
        <f ca="1"/>
        <v>0.1281243160877239</v>
      </c>
    </row>
    <row r="1027" spans="4:20" ht="24" customHeight="1" x14ac:dyDescent="0.3">
      <c r="E1027" s="18">
        <f ca="1"/>
        <v>0.4886217077563248</v>
      </c>
      <c r="F1027" s="18">
        <f ca="1"/>
        <v>-0.22939507538043397</v>
      </c>
      <c r="G1027" s="18">
        <f ca="1"/>
        <v>0.62659370343237197</v>
      </c>
      <c r="H1027" s="18">
        <f ca="1"/>
        <v>-0.48410774148425501</v>
      </c>
      <c r="I1027" s="18">
        <f ca="1"/>
        <v>0.32393991094489194</v>
      </c>
      <c r="J1027" s="18">
        <f ca="1"/>
        <v>-0.41366685310078583</v>
      </c>
      <c r="O1027" s="12">
        <f ca="1"/>
        <v>0.4886217077563248</v>
      </c>
      <c r="P1027" s="13">
        <f ca="1"/>
        <v>-0.48410774148425501</v>
      </c>
      <c r="Q1027" s="13">
        <f ca="1"/>
        <v>0.4886217077563248</v>
      </c>
      <c r="R1027" s="14">
        <f ca="1"/>
        <v>0.32393991094489194</v>
      </c>
    </row>
    <row r="1028" spans="4:20" ht="24" customHeight="1" x14ac:dyDescent="0.3">
      <c r="E1028" s="18">
        <f ca="1"/>
        <v>-0.30294229375185344</v>
      </c>
      <c r="F1028" s="18">
        <f ca="1"/>
        <v>0.62000200322530874</v>
      </c>
      <c r="G1028" s="18">
        <f ca="1"/>
        <v>6.3439677788572887E-2</v>
      </c>
      <c r="H1028" s="18">
        <f ca="1"/>
        <v>-0.15586192609009117</v>
      </c>
      <c r="I1028" s="18">
        <f ca="1"/>
        <v>-0.15730162719618973</v>
      </c>
      <c r="J1028" s="18">
        <f ca="1"/>
        <v>-0.45504146749473495</v>
      </c>
      <c r="O1028" s="12">
        <f ca="1"/>
        <v>-0.30294229375185344</v>
      </c>
      <c r="P1028" s="13">
        <f ca="1"/>
        <v>-0.15586192609009117</v>
      </c>
      <c r="Q1028" s="13">
        <f ca="1"/>
        <v>-0.30294229375185344</v>
      </c>
      <c r="R1028" s="14">
        <f ca="1"/>
        <v>-0.15730162719618973</v>
      </c>
    </row>
    <row r="1029" spans="4:20" ht="24" customHeight="1" x14ac:dyDescent="0.3">
      <c r="E1029" s="18">
        <f ca="1"/>
        <v>-0.34271361502412556</v>
      </c>
      <c r="F1029" s="18">
        <f ca="1"/>
        <v>-0.15957796569397872</v>
      </c>
      <c r="G1029" s="18">
        <f ca="1"/>
        <v>0.14284955195780477</v>
      </c>
      <c r="H1029" s="18">
        <f ca="1"/>
        <v>-0.12397096008260744</v>
      </c>
      <c r="I1029" s="18">
        <f ca="1"/>
        <v>-0.43746911104267289</v>
      </c>
      <c r="J1029" s="18">
        <f ca="1"/>
        <v>0.49721950147159821</v>
      </c>
      <c r="O1029" s="12">
        <f ca="1"/>
        <v>-0.34271361502412556</v>
      </c>
      <c r="P1029" s="13">
        <f ca="1"/>
        <v>-0.12397096008260744</v>
      </c>
      <c r="Q1029" s="13">
        <f ca="1"/>
        <v>-0.34271361502412556</v>
      </c>
      <c r="R1029" s="14">
        <f ca="1"/>
        <v>-0.43746911104267289</v>
      </c>
    </row>
    <row r="1030" spans="4:20" ht="24" customHeight="1" x14ac:dyDescent="0.3">
      <c r="E1030" s="18">
        <f ca="1"/>
        <v>-0.2208108842264383</v>
      </c>
      <c r="F1030" s="18">
        <f ca="1"/>
        <v>0.1713970269522844</v>
      </c>
      <c r="G1030" s="18">
        <f ca="1"/>
        <v>-4.0223003632845408E-2</v>
      </c>
      <c r="H1030" s="18">
        <f ca="1"/>
        <v>-0.40891027526956186</v>
      </c>
      <c r="I1030" s="18">
        <f ca="1"/>
        <v>-9.6959539868513189E-2</v>
      </c>
      <c r="J1030" s="18">
        <f ca="1"/>
        <v>-0.30035204511339514</v>
      </c>
      <c r="O1030" s="12">
        <f ca="1"/>
        <v>-0.2208108842264383</v>
      </c>
      <c r="P1030" s="13">
        <f ca="1"/>
        <v>-0.40891027526956186</v>
      </c>
      <c r="Q1030" s="13">
        <f ca="1"/>
        <v>-0.2208108842264383</v>
      </c>
      <c r="R1030" s="14">
        <f ca="1"/>
        <v>-9.6959539868513189E-2</v>
      </c>
    </row>
    <row r="1031" spans="4:20" ht="24" customHeight="1" x14ac:dyDescent="0.3">
      <c r="E1031" s="18">
        <f ca="1"/>
        <v>0.30663082124523677</v>
      </c>
      <c r="F1031" s="18">
        <f ca="1"/>
        <v>0.22048370983459026</v>
      </c>
      <c r="G1031" s="18">
        <f ca="1"/>
        <v>0.43237525305407459</v>
      </c>
      <c r="H1031" s="18">
        <f ca="1"/>
        <v>-0.55665051975269986</v>
      </c>
      <c r="I1031" s="18">
        <f ca="1"/>
        <v>-0.23436328506118301</v>
      </c>
      <c r="J1031" s="18">
        <f ca="1"/>
        <v>-0.12680227514218598</v>
      </c>
      <c r="O1031" s="12">
        <f ca="1"/>
        <v>0.30663082124523677</v>
      </c>
      <c r="P1031" s="13">
        <f ca="1"/>
        <v>-0.55665051975269986</v>
      </c>
      <c r="Q1031" s="13">
        <f ca="1"/>
        <v>0.30663082124523677</v>
      </c>
      <c r="R1031" s="14">
        <f ca="1"/>
        <v>-0.23436328506118301</v>
      </c>
    </row>
    <row r="1032" spans="4:20" ht="24" customHeight="1" x14ac:dyDescent="0.3">
      <c r="E1032" s="18">
        <f ca="1"/>
        <v>0.13754164430695096</v>
      </c>
      <c r="F1032" s="18">
        <f ca="1"/>
        <v>-0.37007665370786436</v>
      </c>
      <c r="G1032" s="18">
        <f ca="1"/>
        <v>0.36121612799346625</v>
      </c>
      <c r="H1032" s="18">
        <f ca="1"/>
        <v>-0.44315158872070004</v>
      </c>
      <c r="I1032" s="18">
        <f ca="1"/>
        <v>0.51088879863908032</v>
      </c>
      <c r="J1032" s="18">
        <f ca="1"/>
        <v>0.21388243657926281</v>
      </c>
      <c r="O1032" s="15">
        <f ca="1"/>
        <v>0.13754164430695096</v>
      </c>
      <c r="P1032" s="16">
        <f ca="1"/>
        <v>-0.44315158872070004</v>
      </c>
      <c r="Q1032" s="16">
        <f ca="1"/>
        <v>0.13754164430695096</v>
      </c>
      <c r="R1032" s="17">
        <f ca="1"/>
        <v>0.51088879863908032</v>
      </c>
    </row>
    <row r="1034" spans="4:20" ht="24" customHeight="1" x14ac:dyDescent="0.3">
      <c r="D1034" s="3" t="s">
        <v>274</v>
      </c>
      <c r="N1034" s="7" t="s">
        <v>275</v>
      </c>
      <c r="O1034" s="9" cm="1">
        <f t="array" aca="1" ref="O1034:T1041" ca="1">(_xlfn.RANDARRAY(F1014,F1013)-0.5)*2</f>
        <v>-6.5367940850945327E-2</v>
      </c>
      <c r="P1034" s="10">
        <f ca="1"/>
        <v>0.2210547065528865</v>
      </c>
      <c r="Q1034" s="10">
        <f ca="1"/>
        <v>0.62859699790534496</v>
      </c>
      <c r="R1034" s="10">
        <f ca="1"/>
        <v>-0.62940234889817948</v>
      </c>
      <c r="S1034" s="10">
        <f ca="1"/>
        <v>-0.81110165951612467</v>
      </c>
      <c r="T1034" s="11">
        <f ca="1"/>
        <v>0.67744668049184398</v>
      </c>
    </row>
    <row r="1035" spans="4:20" ht="24" customHeight="1" x14ac:dyDescent="0.3">
      <c r="O1035" s="12">
        <f ca="1"/>
        <v>3.0056286613154182E-2</v>
      </c>
      <c r="P1035" s="13">
        <f ca="1"/>
        <v>0.69163959527239172</v>
      </c>
      <c r="Q1035" s="13">
        <f ca="1"/>
        <v>-0.20377159059185734</v>
      </c>
      <c r="R1035" s="13">
        <f ca="1"/>
        <v>0.83755753402881172</v>
      </c>
      <c r="S1035" s="13">
        <f ca="1"/>
        <v>-0.53544665190703133</v>
      </c>
      <c r="T1035" s="14">
        <f ca="1"/>
        <v>0.35505145541589123</v>
      </c>
    </row>
    <row r="1036" spans="4:20" ht="24" customHeight="1" x14ac:dyDescent="0.3">
      <c r="O1036" s="12">
        <f ca="1"/>
        <v>0.68657392853768195</v>
      </c>
      <c r="P1036" s="13">
        <f ca="1"/>
        <v>0.73966614021981192</v>
      </c>
      <c r="Q1036" s="13">
        <f ca="1"/>
        <v>-0.60827127459452024</v>
      </c>
      <c r="R1036" s="13">
        <f ca="1"/>
        <v>0.60250799389195286</v>
      </c>
      <c r="S1036" s="13">
        <f ca="1"/>
        <v>0.16964197443395079</v>
      </c>
      <c r="T1036" s="14">
        <f ca="1"/>
        <v>-0.36174286997675997</v>
      </c>
    </row>
    <row r="1037" spans="4:20" ht="24" customHeight="1" x14ac:dyDescent="0.3">
      <c r="O1037" s="12">
        <f ca="1"/>
        <v>0.31349739224426987</v>
      </c>
      <c r="P1037" s="13">
        <f ca="1"/>
        <v>-0.57725909768713235</v>
      </c>
      <c r="Q1037" s="13">
        <f ca="1"/>
        <v>-0.25222586803950398</v>
      </c>
      <c r="R1037" s="13">
        <f ca="1"/>
        <v>0.55428452288979146</v>
      </c>
      <c r="S1037" s="13">
        <f ca="1"/>
        <v>-0.50234817041886703</v>
      </c>
      <c r="T1037" s="14">
        <f ca="1"/>
        <v>0.44533113135867408</v>
      </c>
    </row>
    <row r="1038" spans="4:20" ht="24" customHeight="1" x14ac:dyDescent="0.3">
      <c r="O1038" s="12">
        <f ca="1"/>
        <v>0.40511464075223369</v>
      </c>
      <c r="P1038" s="13">
        <f ca="1"/>
        <v>0.23131529104526916</v>
      </c>
      <c r="Q1038" s="13">
        <f ca="1"/>
        <v>0.76022894761904158</v>
      </c>
      <c r="R1038" s="13">
        <f ca="1"/>
        <v>0.81279460818301263</v>
      </c>
      <c r="S1038" s="13">
        <f ca="1"/>
        <v>-0.4317232462369156</v>
      </c>
      <c r="T1038" s="14">
        <f ca="1"/>
        <v>-0.89752145127096616</v>
      </c>
    </row>
    <row r="1039" spans="4:20" ht="24" customHeight="1" x14ac:dyDescent="0.3">
      <c r="O1039" s="12">
        <f ca="1"/>
        <v>-0.92112274124731952</v>
      </c>
      <c r="P1039" s="13">
        <f ca="1"/>
        <v>8.5232246513999854E-3</v>
      </c>
      <c r="Q1039" s="13">
        <f ca="1"/>
        <v>-0.30384409261388878</v>
      </c>
      <c r="R1039" s="13">
        <f ca="1"/>
        <v>-0.39392833068999655</v>
      </c>
      <c r="S1039" s="13">
        <f ca="1"/>
        <v>0.6681620192587796</v>
      </c>
      <c r="T1039" s="14">
        <f ca="1"/>
        <v>0.62295293883788982</v>
      </c>
    </row>
    <row r="1040" spans="4:20" ht="24" customHeight="1" x14ac:dyDescent="0.3">
      <c r="O1040" s="12">
        <f ca="1"/>
        <v>-0.59287004994473813</v>
      </c>
      <c r="P1040" s="13">
        <f ca="1"/>
        <v>0.85478421852874931</v>
      </c>
      <c r="Q1040" s="13">
        <f ca="1"/>
        <v>0.56607647714411868</v>
      </c>
      <c r="R1040" s="13">
        <f ca="1"/>
        <v>0.39312182717835809</v>
      </c>
      <c r="S1040" s="13">
        <f ca="1"/>
        <v>0.99964863824814199</v>
      </c>
      <c r="T1040" s="14">
        <f ca="1"/>
        <v>0.64888329836518466</v>
      </c>
    </row>
    <row r="1041" spans="4:31" ht="24" customHeight="1" x14ac:dyDescent="0.3">
      <c r="O1041" s="15">
        <f ca="1"/>
        <v>-0.34140693550992829</v>
      </c>
      <c r="P1041" s="16">
        <f ca="1"/>
        <v>-0.75765697577044344</v>
      </c>
      <c r="Q1041" s="16">
        <f ca="1"/>
        <v>0.40570556960602699</v>
      </c>
      <c r="R1041" s="16">
        <f ca="1"/>
        <v>-5.1244705196442641E-2</v>
      </c>
      <c r="S1041" s="16">
        <f ca="1"/>
        <v>-0.58627341663009602</v>
      </c>
      <c r="T1041" s="17">
        <f ca="1"/>
        <v>-0.75978826369627717</v>
      </c>
    </row>
    <row r="1043" spans="4:31" ht="24" customHeight="1" x14ac:dyDescent="0.3">
      <c r="N1043" s="7" t="s">
        <v>276</v>
      </c>
      <c r="O1043" s="9" cm="1">
        <f t="array" aca="1" ref="O1043:R1050" ca="1">O1034:R1041</f>
        <v>-6.5367940850945327E-2</v>
      </c>
      <c r="P1043" s="10">
        <f ca="1"/>
        <v>0.2210547065528865</v>
      </c>
      <c r="Q1043" s="10">
        <f ca="1"/>
        <v>0.62859699790534496</v>
      </c>
      <c r="R1043" s="11">
        <f ca="1"/>
        <v>-0.62940234889817948</v>
      </c>
    </row>
    <row r="1044" spans="4:31" ht="24" customHeight="1" x14ac:dyDescent="0.3">
      <c r="O1044" s="12">
        <f ca="1"/>
        <v>3.0056286613154182E-2</v>
      </c>
      <c r="P1044" s="13">
        <f ca="1"/>
        <v>0.69163959527239172</v>
      </c>
      <c r="Q1044" s="13">
        <f ca="1"/>
        <v>-0.20377159059185734</v>
      </c>
      <c r="R1044" s="14">
        <f ca="1"/>
        <v>0.83755753402881172</v>
      </c>
    </row>
    <row r="1045" spans="4:31" ht="24" customHeight="1" x14ac:dyDescent="0.3">
      <c r="O1045" s="12">
        <f ca="1"/>
        <v>0.68657392853768195</v>
      </c>
      <c r="P1045" s="13">
        <f ca="1"/>
        <v>0.73966614021981192</v>
      </c>
      <c r="Q1045" s="13">
        <f ca="1"/>
        <v>-0.60827127459452024</v>
      </c>
      <c r="R1045" s="14">
        <f ca="1"/>
        <v>0.60250799389195286</v>
      </c>
    </row>
    <row r="1046" spans="4:31" ht="24" customHeight="1" x14ac:dyDescent="0.3">
      <c r="O1046" s="12">
        <f ca="1"/>
        <v>0.31349739224426987</v>
      </c>
      <c r="P1046" s="13">
        <f ca="1"/>
        <v>-0.57725909768713235</v>
      </c>
      <c r="Q1046" s="13">
        <f ca="1"/>
        <v>-0.25222586803950398</v>
      </c>
      <c r="R1046" s="14">
        <f ca="1"/>
        <v>0.55428452288979146</v>
      </c>
    </row>
    <row r="1047" spans="4:31" ht="24" customHeight="1" x14ac:dyDescent="0.3">
      <c r="O1047" s="12">
        <f ca="1"/>
        <v>0.40511464075223369</v>
      </c>
      <c r="P1047" s="13">
        <f ca="1"/>
        <v>0.23131529104526916</v>
      </c>
      <c r="Q1047" s="13">
        <f ca="1"/>
        <v>0.76022894761904158</v>
      </c>
      <c r="R1047" s="14">
        <f ca="1"/>
        <v>0.81279460818301263</v>
      </c>
    </row>
    <row r="1048" spans="4:31" ht="24" customHeight="1" x14ac:dyDescent="0.3">
      <c r="O1048" s="12">
        <f ca="1"/>
        <v>-0.92112274124731952</v>
      </c>
      <c r="P1048" s="13">
        <f ca="1"/>
        <v>8.5232246513999854E-3</v>
      </c>
      <c r="Q1048" s="13">
        <f ca="1"/>
        <v>-0.30384409261388878</v>
      </c>
      <c r="R1048" s="14">
        <f ca="1"/>
        <v>-0.39392833068999655</v>
      </c>
    </row>
    <row r="1049" spans="4:31" ht="24" customHeight="1" x14ac:dyDescent="0.3">
      <c r="O1049" s="12">
        <f ca="1"/>
        <v>-0.59287004994473813</v>
      </c>
      <c r="P1049" s="13">
        <f ca="1"/>
        <v>0.85478421852874931</v>
      </c>
      <c r="Q1049" s="13">
        <f ca="1"/>
        <v>0.56607647714411868</v>
      </c>
      <c r="R1049" s="14">
        <f ca="1"/>
        <v>0.39312182717835809</v>
      </c>
    </row>
    <row r="1050" spans="4:31" ht="24" customHeight="1" x14ac:dyDescent="0.3">
      <c r="O1050" s="15">
        <f ca="1"/>
        <v>-0.34140693550992829</v>
      </c>
      <c r="P1050" s="16">
        <f ca="1"/>
        <v>-0.75765697577044344</v>
      </c>
      <c r="Q1050" s="16">
        <f ca="1"/>
        <v>0.40570556960602699</v>
      </c>
      <c r="R1050" s="17">
        <f ca="1"/>
        <v>-5.1244705196442641E-2</v>
      </c>
    </row>
    <row r="1052" spans="4:31" ht="24" customHeight="1" x14ac:dyDescent="0.3">
      <c r="D1052" s="3" t="s">
        <v>277</v>
      </c>
    </row>
    <row r="1053" spans="4:31" ht="24" customHeight="1" x14ac:dyDescent="0.3">
      <c r="D1053" s="7" t="s">
        <v>278</v>
      </c>
      <c r="E1053" s="18" cm="1">
        <f t="array" aca="1" ref="E1053:E1060" ca="1">_xlfn.RANDARRAY(F1014,1)*0.5+0.75</f>
        <v>0.79638123065306277</v>
      </c>
      <c r="N1053" s="7" t="s">
        <v>279</v>
      </c>
      <c r="O1053" s="19" cm="1">
        <f t="array" aca="1" ref="O1053:R1053" ca="1">SQRT(MMULT(TRANSPOSE(_xlfn.SEQUENCE(F1014,1,1,0)),_xlfn.ANCHORARRAY(O1043)*_xlfn.ANCHORARRAY(O1043))/F1014+F1020)</f>
        <v>0.50688846044744307</v>
      </c>
      <c r="P1053" s="20">
        <f ca="1"/>
        <v>0.58798938556503844</v>
      </c>
      <c r="Q1053" s="20">
        <f ca="1"/>
        <v>0.50318805524284738</v>
      </c>
      <c r="R1053" s="21">
        <f ca="1"/>
        <v>0.58533009386287149</v>
      </c>
    </row>
    <row r="1054" spans="4:31" ht="24" customHeight="1" x14ac:dyDescent="0.3">
      <c r="E1054" s="18">
        <f ca="1"/>
        <v>1.1349041336713981</v>
      </c>
      <c r="AB1054" s="1" t="s">
        <v>282</v>
      </c>
    </row>
    <row r="1055" spans="4:31" ht="24" customHeight="1" x14ac:dyDescent="0.3">
      <c r="E1055" s="18">
        <f ca="1"/>
        <v>0.77883093474607024</v>
      </c>
      <c r="AB1055" s="9" cm="1">
        <f t="array" aca="1" ref="AB1055:AE1062" ca="1">_xlfn.ANCHORARRAY(O1043)/_xlfn.ANCHORARRAY(O1053)*_xlfn.ANCHORARRAY(E1053)</f>
        <v>-0.10270070290055476</v>
      </c>
      <c r="AC1055" s="10">
        <f ca="1"/>
        <v>0.2993996551095342</v>
      </c>
      <c r="AD1055" s="10">
        <f ca="1"/>
        <v>0.99486234929618833</v>
      </c>
      <c r="AE1055" s="11">
        <f ca="1"/>
        <v>-0.8563445181564332</v>
      </c>
    </row>
    <row r="1056" spans="4:31" ht="24" customHeight="1" x14ac:dyDescent="0.3">
      <c r="E1056" s="18">
        <f ca="1"/>
        <v>0.89087139349806033</v>
      </c>
      <c r="AB1056" s="12">
        <f ca="1"/>
        <v>6.7294891444106567E-2</v>
      </c>
      <c r="AC1056" s="13">
        <f ca="1"/>
        <v>1.3349639550570187</v>
      </c>
      <c r="AD1056" s="13">
        <f ca="1"/>
        <v>-0.45959203140440991</v>
      </c>
      <c r="AE1056" s="14">
        <f ca="1"/>
        <v>1.6239511986882587</v>
      </c>
    </row>
    <row r="1057" spans="4:33" ht="24" customHeight="1" x14ac:dyDescent="0.3">
      <c r="E1057" s="18">
        <f ca="1"/>
        <v>1.1007607402537558</v>
      </c>
      <c r="AB1057" s="12">
        <f ca="1"/>
        <v>1.0549165275202148</v>
      </c>
      <c r="AC1057" s="13">
        <f ca="1"/>
        <v>0.97973685500091978</v>
      </c>
      <c r="AD1057" s="13">
        <f ca="1"/>
        <v>-0.94147800297643858</v>
      </c>
      <c r="AE1057" s="14">
        <f ca="1"/>
        <v>0.80168757594203488</v>
      </c>
    </row>
    <row r="1058" spans="4:33" ht="24" customHeight="1" x14ac:dyDescent="0.3">
      <c r="E1058" s="18">
        <f ca="1"/>
        <v>0.96306023987772449</v>
      </c>
      <c r="AB1058" s="12">
        <f ca="1"/>
        <v>0.55098089713884613</v>
      </c>
      <c r="AC1058" s="13">
        <f ca="1"/>
        <v>-0.87461377601532408</v>
      </c>
      <c r="AD1058" s="13">
        <f ca="1"/>
        <v>-0.44655434125550975</v>
      </c>
      <c r="AE1058" s="14">
        <f ca="1"/>
        <v>0.84362008801297073</v>
      </c>
    </row>
    <row r="1059" spans="4:33" ht="24" customHeight="1" x14ac:dyDescent="0.3">
      <c r="E1059" s="18">
        <f ca="1"/>
        <v>0.95148006032545596</v>
      </c>
      <c r="AB1059" s="12">
        <f ca="1"/>
        <v>0.87974836011935598</v>
      </c>
      <c r="AC1059" s="13">
        <f ca="1"/>
        <v>0.43303977461824306</v>
      </c>
      <c r="AD1059" s="13">
        <f ca="1"/>
        <v>1.6630565261323644</v>
      </c>
      <c r="AE1059" s="14">
        <f ca="1"/>
        <v>1.5285262178701493</v>
      </c>
    </row>
    <row r="1060" spans="4:33" ht="24" customHeight="1" x14ac:dyDescent="0.3">
      <c r="E1060" s="18">
        <f ca="1"/>
        <v>0.98121961744326691</v>
      </c>
      <c r="AB1060" s="12">
        <f ca="1"/>
        <v>-1.7500826263817653</v>
      </c>
      <c r="AC1060" s="13">
        <f ca="1"/>
        <v>1.3960079856579424E-2</v>
      </c>
      <c r="AD1060" s="13">
        <f ca="1"/>
        <v>-0.58153241451039139</v>
      </c>
      <c r="AE1060" s="14">
        <f ca="1"/>
        <v>-0.64814147884529971</v>
      </c>
    </row>
    <row r="1061" spans="4:33" ht="24" customHeight="1" x14ac:dyDescent="0.3">
      <c r="AB1061" s="12">
        <f ca="1"/>
        <v>-1.11287605637861</v>
      </c>
      <c r="AC1061" s="13">
        <f ca="1"/>
        <v>1.3832054791761552</v>
      </c>
      <c r="AD1061" s="13">
        <f ca="1"/>
        <v>1.0703959980965065</v>
      </c>
      <c r="AE1061" s="14">
        <f ca="1"/>
        <v>0.63903698743797677</v>
      </c>
    </row>
    <row r="1062" spans="4:33" ht="24" customHeight="1" x14ac:dyDescent="0.3">
      <c r="D1062" s="7" t="s">
        <v>280</v>
      </c>
      <c r="E1062" s="18" cm="1">
        <f t="array" aca="1" ref="E1062:E1069" ca="1">_xlfn.RANDARRAY(F1014,1)*0.5+0.75</f>
        <v>0.9962787366126945</v>
      </c>
      <c r="N1062" s="7" t="s">
        <v>281</v>
      </c>
      <c r="O1062" s="19" cm="1">
        <f t="array" aca="1" ref="O1062:R1062" ca="1">SQRT(MMULT(TRANSPOSE(_xlfn.SEQUENCE(F1014,1,1,0)),O1025:R1032*O1025:R1032)/F1014+F1020)</f>
        <v>0.35355480480400769</v>
      </c>
      <c r="P1062" s="20">
        <f ca="1"/>
        <v>0.35355480480400769</v>
      </c>
      <c r="Q1062" s="20">
        <f ca="1"/>
        <v>0.35355480480400769</v>
      </c>
      <c r="R1062" s="21">
        <f ca="1"/>
        <v>0.35355480480400769</v>
      </c>
      <c r="AB1062" s="12">
        <f ca="1"/>
        <v>-0.66088539943841162</v>
      </c>
      <c r="AC1062" s="13">
        <f ca="1"/>
        <v>-1.264355966569511</v>
      </c>
      <c r="AD1062" s="13">
        <f ca="1"/>
        <v>0.79112820675225504</v>
      </c>
      <c r="AE1062" s="14">
        <f ca="1"/>
        <v>-8.5904194156513597E-2</v>
      </c>
    </row>
    <row r="1063" spans="4:33" ht="24" customHeight="1" x14ac:dyDescent="0.3">
      <c r="E1063" s="18">
        <f ca="1"/>
        <v>0.8684482437284835</v>
      </c>
      <c r="AB1063" s="12" cm="1">
        <f t="array" aca="1" ref="AB1063:AE1070" ca="1">O1025:R1032/_xlfn.ANCHORARRAY(O1062)*_xlfn.ANCHORARRAY(E1062)</f>
        <v>-0.61954026906779258</v>
      </c>
      <c r="AC1063" s="13">
        <f ca="1"/>
        <v>-0.62494917383954884</v>
      </c>
      <c r="AD1063" s="13">
        <f ca="1"/>
        <v>-0.61954026906779258</v>
      </c>
      <c r="AE1063" s="14">
        <f ca="1"/>
        <v>-1.6362930130750739</v>
      </c>
    </row>
    <row r="1064" spans="4:33" ht="24" customHeight="1" x14ac:dyDescent="0.3">
      <c r="E1064" s="18">
        <f ca="1"/>
        <v>0.92514377070329123</v>
      </c>
      <c r="AB1064" s="12">
        <f ca="1"/>
        <v>-1.4364534740193384</v>
      </c>
      <c r="AC1064" s="13">
        <f ca="1"/>
        <v>0.14198473844279474</v>
      </c>
      <c r="AD1064" s="13">
        <f ca="1"/>
        <v>-1.4364534740193384</v>
      </c>
      <c r="AE1064" s="14">
        <f ca="1"/>
        <v>0.31471595286897264</v>
      </c>
    </row>
    <row r="1065" spans="4:33" ht="24" customHeight="1" x14ac:dyDescent="0.3">
      <c r="E1065" s="18">
        <f ca="1"/>
        <v>0.81748099770348537</v>
      </c>
      <c r="AB1065" s="12">
        <f ca="1"/>
        <v>1.2785721563358705</v>
      </c>
      <c r="AC1065" s="13">
        <f ca="1"/>
        <v>-1.2667605002049771</v>
      </c>
      <c r="AD1065" s="13">
        <f ca="1"/>
        <v>1.2785721563358705</v>
      </c>
      <c r="AE1065" s="14">
        <f ca="1"/>
        <v>0.84765073652153788</v>
      </c>
    </row>
    <row r="1066" spans="4:33" ht="24" customHeight="1" x14ac:dyDescent="0.3">
      <c r="E1066" s="18">
        <f ca="1"/>
        <v>0.88142292296365821</v>
      </c>
      <c r="AB1066" s="12">
        <f ca="1"/>
        <v>-0.70045595528006321</v>
      </c>
      <c r="AC1066" s="13">
        <f ca="1"/>
        <v>-0.36038023274707404</v>
      </c>
      <c r="AD1066" s="13">
        <f ca="1"/>
        <v>-0.70045595528006321</v>
      </c>
      <c r="AE1066" s="14">
        <f ca="1"/>
        <v>-0.3637090753497384</v>
      </c>
    </row>
    <row r="1067" spans="4:33" ht="24" customHeight="1" x14ac:dyDescent="0.3">
      <c r="E1067" s="18">
        <f ca="1"/>
        <v>0.80916607823836384</v>
      </c>
      <c r="AB1067" s="12">
        <f ca="1"/>
        <v>-0.85439550584374491</v>
      </c>
      <c r="AC1067" s="13">
        <f ca="1"/>
        <v>-0.30906338851538701</v>
      </c>
      <c r="AD1067" s="13">
        <f ca="1"/>
        <v>-0.85439550584374491</v>
      </c>
      <c r="AE1067" s="14">
        <f ca="1"/>
        <v>-1.0906238504531138</v>
      </c>
    </row>
    <row r="1068" spans="4:33" ht="24" customHeight="1" x14ac:dyDescent="0.3">
      <c r="E1068" s="18">
        <f ca="1"/>
        <v>1.1700841713098862</v>
      </c>
      <c r="AB1068" s="12">
        <f ca="1"/>
        <v>-0.50536062526685011</v>
      </c>
      <c r="AC1068" s="13">
        <f ca="1"/>
        <v>-0.93585582573163362</v>
      </c>
      <c r="AD1068" s="13">
        <f ca="1"/>
        <v>-0.50536062526685011</v>
      </c>
      <c r="AE1068" s="14">
        <f ca="1"/>
        <v>-0.22190723915262078</v>
      </c>
    </row>
    <row r="1069" spans="4:33" ht="24" customHeight="1" x14ac:dyDescent="0.3">
      <c r="E1069" s="18">
        <f ca="1"/>
        <v>0.75459959079783179</v>
      </c>
      <c r="AB1069" s="12">
        <f ca="1"/>
        <v>1.0147899717377444</v>
      </c>
      <c r="AC1069" s="13">
        <f ca="1"/>
        <v>-1.8422263062585655</v>
      </c>
      <c r="AD1069" s="13">
        <f ca="1"/>
        <v>1.0147899717377444</v>
      </c>
      <c r="AE1069" s="14">
        <f ca="1"/>
        <v>-0.77562167579165786</v>
      </c>
    </row>
    <row r="1070" spans="4:33" ht="24" customHeight="1" x14ac:dyDescent="0.3">
      <c r="AB1070" s="15">
        <f ca="1"/>
        <v>0.29355807671521034</v>
      </c>
      <c r="AC1070" s="16">
        <f ca="1"/>
        <v>-0.9458279253068681</v>
      </c>
      <c r="AD1070" s="16">
        <f ca="1"/>
        <v>0.29355807671521034</v>
      </c>
      <c r="AE1070" s="17">
        <f ca="1"/>
        <v>1.090400902937682</v>
      </c>
    </row>
    <row r="1071" spans="4:33" ht="24" customHeight="1" x14ac:dyDescent="0.3">
      <c r="E1071" s="1" t="s">
        <v>283</v>
      </c>
    </row>
    <row r="1072" spans="4:33" ht="24" customHeight="1" x14ac:dyDescent="0.3">
      <c r="E1072" s="18" cm="1">
        <f t="array" aca="1" ref="E1072:T1079" ca="1">(_xlfn.RANDARRAY(F1014,2*F1014)-0.5)*2</f>
        <v>0.5226762694369218</v>
      </c>
      <c r="F1072" s="18">
        <f ca="1"/>
        <v>-9.6989887744153069E-2</v>
      </c>
      <c r="G1072" s="18">
        <f ca="1"/>
        <v>0.78384434338724152</v>
      </c>
      <c r="H1072" s="18">
        <f ca="1"/>
        <v>0.33967291152135815</v>
      </c>
      <c r="I1072" s="18">
        <f ca="1"/>
        <v>-0.86556655938098226</v>
      </c>
      <c r="J1072" s="18">
        <f ca="1"/>
        <v>0.25835046163866826</v>
      </c>
      <c r="K1072" s="18">
        <f ca="1"/>
        <v>0.80617996936749314</v>
      </c>
      <c r="L1072" s="18">
        <f ca="1"/>
        <v>-0.80200249518963806</v>
      </c>
      <c r="M1072" s="18">
        <f ca="1"/>
        <v>-0.1696199710873838</v>
      </c>
      <c r="N1072" s="18">
        <f ca="1"/>
        <v>0.6659695423801435</v>
      </c>
      <c r="O1072" s="18">
        <f ca="1"/>
        <v>-3.7912499539573208E-2</v>
      </c>
      <c r="P1072" s="18">
        <f ca="1"/>
        <v>0.44105727234520131</v>
      </c>
      <c r="Q1072" s="18">
        <f ca="1"/>
        <v>-0.63636089224795978</v>
      </c>
      <c r="R1072" s="18">
        <f ca="1"/>
        <v>0.96323771124904711</v>
      </c>
      <c r="S1072" s="18">
        <f ca="1"/>
        <v>0.68776760447978447</v>
      </c>
      <c r="T1072" s="18">
        <f ca="1"/>
        <v>-0.58607177516427145</v>
      </c>
      <c r="AG1072" s="1" t="s">
        <v>284</v>
      </c>
    </row>
    <row r="1073" spans="4:36" ht="24" customHeight="1" x14ac:dyDescent="0.3">
      <c r="E1073" s="18">
        <f ca="1"/>
        <v>-0.82098705687919038</v>
      </c>
      <c r="F1073" s="18">
        <f ca="1"/>
        <v>0.59130800190241084</v>
      </c>
      <c r="G1073" s="18">
        <f ca="1"/>
        <v>-0.41449681190999099</v>
      </c>
      <c r="H1073" s="18">
        <f ca="1"/>
        <v>-0.62306425805189747</v>
      </c>
      <c r="I1073" s="18">
        <f ca="1"/>
        <v>-0.6692096455230887</v>
      </c>
      <c r="J1073" s="18">
        <f ca="1"/>
        <v>-0.40380127994206738</v>
      </c>
      <c r="K1073" s="18">
        <f ca="1"/>
        <v>-0.21348049143939107</v>
      </c>
      <c r="L1073" s="18">
        <f ca="1"/>
        <v>0.83871684869912366</v>
      </c>
      <c r="M1073" s="18">
        <f ca="1"/>
        <v>0.80246249747163612</v>
      </c>
      <c r="N1073" s="18">
        <f ca="1"/>
        <v>-0.73945621488036917</v>
      </c>
      <c r="O1073" s="18">
        <f ca="1"/>
        <v>-0.73063779089282299</v>
      </c>
      <c r="P1073" s="18">
        <f ca="1"/>
        <v>0.89026976587896423</v>
      </c>
      <c r="Q1073" s="18">
        <f ca="1"/>
        <v>0.47825644570927395</v>
      </c>
      <c r="R1073" s="18">
        <f ca="1"/>
        <v>-0.18750209571442067</v>
      </c>
      <c r="S1073" s="18">
        <f ca="1"/>
        <v>0.7185284271744754</v>
      </c>
      <c r="T1073" s="18">
        <f ca="1"/>
        <v>-0.67756964902872641</v>
      </c>
      <c r="AG1073" s="9" cm="1">
        <f t="array" aca="1" ref="AG1073:AJ1080" ca="1">MMULT(_xlfn.ANCHORARRAY(E1072),AB1055:AE1070)</f>
        <v>-1.2530724475061494</v>
      </c>
      <c r="AH1073" s="10">
        <f ca="1"/>
        <v>0.92796352497753476</v>
      </c>
      <c r="AI1073" s="10">
        <f ca="1"/>
        <v>-2.3125160458033465</v>
      </c>
      <c r="AJ1073" s="11">
        <f ca="1"/>
        <v>-0.99419285957620951</v>
      </c>
    </row>
    <row r="1074" spans="4:36" ht="24" customHeight="1" x14ac:dyDescent="0.3">
      <c r="E1074" s="18">
        <f ca="1"/>
        <v>-0.20301654944350345</v>
      </c>
      <c r="F1074" s="18">
        <f ca="1"/>
        <v>0.62780625341678276</v>
      </c>
      <c r="G1074" s="18">
        <f ca="1"/>
        <v>-0.20358711942586094</v>
      </c>
      <c r="H1074" s="18">
        <f ca="1"/>
        <v>0.84866214980526156</v>
      </c>
      <c r="I1074" s="18">
        <f ca="1"/>
        <v>-6.2821586082928427E-2</v>
      </c>
      <c r="J1074" s="18">
        <f ca="1"/>
        <v>0.14336601763974022</v>
      </c>
      <c r="K1074" s="18">
        <f ca="1"/>
        <v>0.12543411380282787</v>
      </c>
      <c r="L1074" s="18">
        <f ca="1"/>
        <v>0.32102957520995146</v>
      </c>
      <c r="M1074" s="18">
        <f ca="1"/>
        <v>6.1973076609236344E-3</v>
      </c>
      <c r="N1074" s="18">
        <f ca="1"/>
        <v>0.81369486941576774</v>
      </c>
      <c r="O1074" s="18">
        <f ca="1"/>
        <v>-0.52537616183257763</v>
      </c>
      <c r="P1074" s="18">
        <f ca="1"/>
        <v>-0.749534455128126</v>
      </c>
      <c r="Q1074" s="18">
        <f ca="1"/>
        <v>-0.84803007849435108</v>
      </c>
      <c r="R1074" s="18">
        <f ca="1"/>
        <v>-0.30766813625869682</v>
      </c>
      <c r="S1074" s="18">
        <f ca="1"/>
        <v>-0.41785005205435022</v>
      </c>
      <c r="T1074" s="18">
        <f ca="1"/>
        <v>0.82351590314055123</v>
      </c>
      <c r="AG1074" s="12">
        <f ca="1"/>
        <v>-1.6315628217804949</v>
      </c>
      <c r="AH1074" s="13">
        <f ca="1"/>
        <v>-1.6256877299208838</v>
      </c>
      <c r="AI1074" s="13">
        <f ca="1"/>
        <v>-1.6394897803505897</v>
      </c>
      <c r="AJ1074" s="14">
        <f ca="1"/>
        <v>-4.4293046132038549</v>
      </c>
    </row>
    <row r="1075" spans="4:36" ht="24" customHeight="1" x14ac:dyDescent="0.3">
      <c r="E1075" s="18">
        <f ca="1"/>
        <v>-0.31469180949988029</v>
      </c>
      <c r="F1075" s="18">
        <f ca="1"/>
        <v>-0.63213755625452084</v>
      </c>
      <c r="G1075" s="18">
        <f ca="1"/>
        <v>0.71773120742532237</v>
      </c>
      <c r="H1075" s="18">
        <f ca="1"/>
        <v>-0.78279181193143588</v>
      </c>
      <c r="I1075" s="18">
        <f ca="1"/>
        <v>-0.10017598501584546</v>
      </c>
      <c r="J1075" s="18">
        <f ca="1"/>
        <v>-0.40151907078317928</v>
      </c>
      <c r="K1075" s="18">
        <f ca="1"/>
        <v>2.6735997724923077E-2</v>
      </c>
      <c r="L1075" s="18">
        <f ca="1"/>
        <v>0.49289625512677127</v>
      </c>
      <c r="M1075" s="18">
        <f ca="1"/>
        <v>-0.65717634118709789</v>
      </c>
      <c r="N1075" s="18">
        <f ca="1"/>
        <v>-0.44178923810726234</v>
      </c>
      <c r="O1075" s="18">
        <f ca="1"/>
        <v>5.4104967410023352E-2</v>
      </c>
      <c r="P1075" s="18">
        <f ca="1"/>
        <v>3.2244319677861899E-2</v>
      </c>
      <c r="Q1075" s="18">
        <f ca="1"/>
        <v>0.75777271755897591</v>
      </c>
      <c r="R1075" s="18">
        <f ca="1"/>
        <v>0.33409560870582267</v>
      </c>
      <c r="S1075" s="18">
        <f ca="1"/>
        <v>-0.70764642116396503</v>
      </c>
      <c r="T1075" s="18">
        <f ca="1"/>
        <v>4.3141028165249118E-2</v>
      </c>
      <c r="AG1075" s="12">
        <f ca="1"/>
        <v>-0.96363224457862584</v>
      </c>
      <c r="AH1075" s="13">
        <f ca="1"/>
        <v>1.1662053819074658</v>
      </c>
      <c r="AI1075" s="13">
        <f ca="1"/>
        <v>-1.0990509660155621</v>
      </c>
      <c r="AJ1075" s="14">
        <f ca="1"/>
        <v>3.8981781436286655</v>
      </c>
    </row>
    <row r="1076" spans="4:36" ht="24" customHeight="1" x14ac:dyDescent="0.3">
      <c r="E1076" s="18">
        <f ca="1"/>
        <v>0.44510818818551456</v>
      </c>
      <c r="F1076" s="18">
        <f ca="1"/>
        <v>0.2216086387183549</v>
      </c>
      <c r="G1076" s="18">
        <f ca="1"/>
        <v>-0.16346501132096414</v>
      </c>
      <c r="H1076" s="18">
        <f ca="1"/>
        <v>0.16658465477418627</v>
      </c>
      <c r="I1076" s="18">
        <f ca="1"/>
        <v>0.56438816012739546</v>
      </c>
      <c r="J1076" s="18">
        <f ca="1"/>
        <v>0.48595664297091323</v>
      </c>
      <c r="K1076" s="18">
        <f ca="1"/>
        <v>0.2396028560236898</v>
      </c>
      <c r="L1076" s="18">
        <f ca="1"/>
        <v>0.88929575547969719</v>
      </c>
      <c r="M1076" s="18">
        <f ca="1"/>
        <v>-0.33810784151811202</v>
      </c>
      <c r="N1076" s="18">
        <f ca="1"/>
        <v>-4.2654722116094668E-2</v>
      </c>
      <c r="O1076" s="18">
        <f ca="1"/>
        <v>0.50726723600817403</v>
      </c>
      <c r="P1076" s="18">
        <f ca="1"/>
        <v>0.53769302230878813</v>
      </c>
      <c r="Q1076" s="18">
        <f ca="1"/>
        <v>-0.59440598920488608</v>
      </c>
      <c r="R1076" s="18">
        <f ca="1"/>
        <v>0.97671873893140404</v>
      </c>
      <c r="S1076" s="18">
        <f ca="1"/>
        <v>-0.1492360851269563</v>
      </c>
      <c r="T1076" s="18">
        <f ca="1"/>
        <v>0.16203139863580107</v>
      </c>
      <c r="AG1076" s="12">
        <f ca="1"/>
        <v>0.14130652895054499</v>
      </c>
      <c r="AH1076" s="13">
        <f ca="1"/>
        <v>0.79832034903096427</v>
      </c>
      <c r="AI1076" s="13">
        <f ca="1"/>
        <v>-0.29663463906558929</v>
      </c>
      <c r="AJ1076" s="14">
        <f ca="1"/>
        <v>-9.4442476826384195E-2</v>
      </c>
    </row>
    <row r="1077" spans="4:36" ht="24" customHeight="1" x14ac:dyDescent="0.3">
      <c r="E1077" s="18">
        <f ca="1"/>
        <v>-0.67255484996340886</v>
      </c>
      <c r="F1077" s="18">
        <f ca="1"/>
        <v>0.9803020605661481</v>
      </c>
      <c r="G1077" s="18">
        <f ca="1"/>
        <v>0.36714838380713699</v>
      </c>
      <c r="H1077" s="18">
        <f ca="1"/>
        <v>-0.71747013432951423</v>
      </c>
      <c r="I1077" s="18">
        <f ca="1"/>
        <v>-0.48466620834912888</v>
      </c>
      <c r="J1077" s="18">
        <f ca="1"/>
        <v>0.29488162474677004</v>
      </c>
      <c r="K1077" s="18">
        <f ca="1"/>
        <v>0.23186094764513543</v>
      </c>
      <c r="L1077" s="18">
        <f ca="1"/>
        <v>-0.4073856946232679</v>
      </c>
      <c r="M1077" s="18">
        <f ca="1"/>
        <v>0.33051038325144377</v>
      </c>
      <c r="N1077" s="18">
        <f ca="1"/>
        <v>0.51985677695085242</v>
      </c>
      <c r="O1077" s="18">
        <f ca="1"/>
        <v>-0.22684518495267136</v>
      </c>
      <c r="P1077" s="18">
        <f ca="1"/>
        <v>0.56356284002090407</v>
      </c>
      <c r="Q1077" s="18">
        <f ca="1"/>
        <v>0.96629210536720889</v>
      </c>
      <c r="R1077" s="18">
        <f ca="1"/>
        <v>-0.96097242548474204</v>
      </c>
      <c r="S1077" s="18">
        <f ca="1"/>
        <v>0.81894407428501337</v>
      </c>
      <c r="T1077" s="18">
        <f ca="1"/>
        <v>-0.67118442470955886</v>
      </c>
      <c r="AG1077" s="12">
        <f ca="1"/>
        <v>-0.8666969684500202</v>
      </c>
      <c r="AH1077" s="13">
        <f ca="1"/>
        <v>-1.6583271531731838</v>
      </c>
      <c r="AI1077" s="13">
        <f ca="1"/>
        <v>2.4895835799632939</v>
      </c>
      <c r="AJ1077" s="14">
        <f ca="1"/>
        <v>2.1108395518081919</v>
      </c>
    </row>
    <row r="1078" spans="4:36" ht="24" customHeight="1" x14ac:dyDescent="0.3">
      <c r="E1078" s="18">
        <f ca="1"/>
        <v>0.22109390416180608</v>
      </c>
      <c r="F1078" s="18">
        <f ca="1"/>
        <v>-0.44384605340618011</v>
      </c>
      <c r="G1078" s="18">
        <f ca="1"/>
        <v>-0.14153874945486367</v>
      </c>
      <c r="H1078" s="18">
        <f ca="1"/>
        <v>-0.76048552495544852</v>
      </c>
      <c r="I1078" s="18">
        <f ca="1"/>
        <v>0.28138972011069452</v>
      </c>
      <c r="J1078" s="18">
        <f ca="1"/>
        <v>-9.1753305007535868E-2</v>
      </c>
      <c r="K1078" s="18">
        <f ca="1"/>
        <v>0.83317644154041748</v>
      </c>
      <c r="L1078" s="18">
        <f ca="1"/>
        <v>0.36714852752774396</v>
      </c>
      <c r="M1078" s="18">
        <f ca="1"/>
        <v>-0.69880831135019239</v>
      </c>
      <c r="N1078" s="18">
        <f ca="1"/>
        <v>3.3803870776593747E-2</v>
      </c>
      <c r="O1078" s="18">
        <f ca="1"/>
        <v>0.64687348005741763</v>
      </c>
      <c r="P1078" s="18">
        <f ca="1"/>
        <v>0.56578450050233231</v>
      </c>
      <c r="Q1078" s="18">
        <f ca="1"/>
        <v>0.3450054550733106</v>
      </c>
      <c r="R1078" s="18">
        <f ca="1"/>
        <v>0.43131362434997467</v>
      </c>
      <c r="S1078" s="18">
        <f ca="1"/>
        <v>-9.287691219118388E-2</v>
      </c>
      <c r="T1078" s="18">
        <f ca="1"/>
        <v>-0.18633618350562475</v>
      </c>
      <c r="AG1078" s="12">
        <f ca="1"/>
        <v>-2.146445844360668</v>
      </c>
      <c r="AH1078" s="13">
        <f ca="1"/>
        <v>2.4029039196654143</v>
      </c>
      <c r="AI1078" s="13">
        <f ca="1"/>
        <v>-3.5387698759923181</v>
      </c>
      <c r="AJ1078" s="14">
        <f ca="1"/>
        <v>-1.8739470865066898</v>
      </c>
    </row>
    <row r="1079" spans="4:36" ht="24" customHeight="1" x14ac:dyDescent="0.3">
      <c r="E1079" s="18">
        <f ca="1"/>
        <v>0.6501553347444089</v>
      </c>
      <c r="F1079" s="18">
        <f ca="1"/>
        <v>-0.20462531680179952</v>
      </c>
      <c r="G1079" s="18">
        <f ca="1"/>
        <v>0.63085046938587963</v>
      </c>
      <c r="H1079" s="18">
        <f ca="1"/>
        <v>-0.79032465066299418</v>
      </c>
      <c r="I1079" s="18">
        <f ca="1"/>
        <v>-0.269898929612296</v>
      </c>
      <c r="J1079" s="18">
        <f ca="1"/>
        <v>0.77423136285199012</v>
      </c>
      <c r="K1079" s="18">
        <f ca="1"/>
        <v>0.47543496049706579</v>
      </c>
      <c r="L1079" s="18">
        <f ca="1"/>
        <v>0.3513706795708198</v>
      </c>
      <c r="M1079" s="18">
        <f ca="1"/>
        <v>0.32599339252152904</v>
      </c>
      <c r="N1079" s="18">
        <f ca="1"/>
        <v>-0.45426245536317822</v>
      </c>
      <c r="O1079" s="18">
        <f ca="1"/>
        <v>0.33857052527648213</v>
      </c>
      <c r="P1079" s="18">
        <f ca="1"/>
        <v>0.77472566256600039</v>
      </c>
      <c r="Q1079" s="18">
        <f ca="1"/>
        <v>0.5816354633484826</v>
      </c>
      <c r="R1079" s="18">
        <f ca="1"/>
        <v>0.73743210276816207</v>
      </c>
      <c r="S1079" s="18">
        <f ca="1"/>
        <v>-0.22931655235382609</v>
      </c>
      <c r="T1079" s="18">
        <f ca="1"/>
        <v>-0.46542119885346533</v>
      </c>
      <c r="AG1079" s="12">
        <f ca="1"/>
        <v>-1.2291784230246003</v>
      </c>
      <c r="AH1079" s="13">
        <f ca="1"/>
        <v>6.4211509399097449E-2</v>
      </c>
      <c r="AI1079" s="13">
        <f ca="1"/>
        <v>2.7538730735576173</v>
      </c>
      <c r="AJ1079" s="14">
        <f ca="1"/>
        <v>0.21883305563051969</v>
      </c>
    </row>
    <row r="1080" spans="4:36" ht="24" customHeight="1" x14ac:dyDescent="0.3">
      <c r="AG1080" s="15">
        <f ca="1"/>
        <v>-3.102394453954362</v>
      </c>
      <c r="AH1080" s="16">
        <f ca="1"/>
        <v>0.35454090546092776</v>
      </c>
      <c r="AI1080" s="16">
        <f ca="1"/>
        <v>-0.51053025661717111</v>
      </c>
      <c r="AJ1080" s="17">
        <f ca="1"/>
        <v>-3.4895593825909161</v>
      </c>
    </row>
    <row r="1083" spans="4:36" ht="24" customHeight="1" x14ac:dyDescent="0.3">
      <c r="D1083" s="3" t="s">
        <v>285</v>
      </c>
    </row>
    <row r="1084" spans="4:36" ht="24" customHeight="1" x14ac:dyDescent="0.3">
      <c r="D1084" s="7" t="s">
        <v>286</v>
      </c>
      <c r="E1084" s="18" cm="1">
        <f t="array" aca="1" ref="E1084:E1091" ca="1">_xlfn.RANDARRAY(F1014,1)*0.5+0.75</f>
        <v>1.2360772143845271</v>
      </c>
      <c r="N1084" s="7" t="s">
        <v>287</v>
      </c>
      <c r="O1084" s="19" cm="1">
        <f t="array" aca="1" ref="O1084:R1084" ca="1">SQRT(MMULT(TRANSPOSE(_xlfn.SEQUENCE(F1014,1,1,0)),_xlfn.ANCHORARRAY(AG1073)*_xlfn.ANCHORARRAY(AG1073))/F1014+F1020)</f>
        <v>1.6460131674549545</v>
      </c>
      <c r="P1084" s="20">
        <f ca="1"/>
        <v>1.3301857876369263</v>
      </c>
      <c r="Q1084" s="20">
        <f ca="1"/>
        <v>2.1182819400992781</v>
      </c>
      <c r="R1084" s="21">
        <f ca="1"/>
        <v>2.6458484675724581</v>
      </c>
    </row>
    <row r="1085" spans="4:36" ht="24" customHeight="1" x14ac:dyDescent="0.3">
      <c r="E1085" s="18">
        <f ca="1"/>
        <v>1.1897573738268565</v>
      </c>
    </row>
    <row r="1086" spans="4:36" ht="24" customHeight="1" x14ac:dyDescent="0.3">
      <c r="E1086" s="18">
        <f ca="1"/>
        <v>1.1222595457350755</v>
      </c>
      <c r="N1086" s="7" t="s">
        <v>288</v>
      </c>
      <c r="O1086" s="9" cm="1">
        <f t="array" aca="1" ref="O1086:R1093" ca="1">_xlfn.ANCHORARRAY(AG1073)/_xlfn.ANCHORARRAY(O1084)*_xlfn.ANCHORARRAY(E1084)</f>
        <v>-0.94099751506258245</v>
      </c>
      <c r="P1086" s="10">
        <f ca="1"/>
        <v>0.86231155051083763</v>
      </c>
      <c r="Q1086" s="10">
        <f ca="1"/>
        <v>-1.3494182894190914</v>
      </c>
      <c r="R1086" s="11">
        <f ca="1"/>
        <v>-0.46446316011190625</v>
      </c>
    </row>
    <row r="1087" spans="4:36" ht="24" customHeight="1" x14ac:dyDescent="0.3">
      <c r="E1087" s="18">
        <f ca="1"/>
        <v>0.94507796060786853</v>
      </c>
      <c r="O1087" s="12">
        <f ca="1"/>
        <v>-1.1793124966773512</v>
      </c>
      <c r="P1087" s="13">
        <f ca="1"/>
        <v>-1.4540630205117986</v>
      </c>
      <c r="Q1087" s="13">
        <f ca="1"/>
        <v>-0.92083825979957534</v>
      </c>
      <c r="R1087" s="14">
        <f ca="1"/>
        <v>-1.9917232181174724</v>
      </c>
    </row>
    <row r="1088" spans="4:36" ht="24" customHeight="1" x14ac:dyDescent="0.3">
      <c r="E1088" s="18">
        <f ca="1"/>
        <v>1.0497838533055821</v>
      </c>
      <c r="O1088" s="12">
        <f ca="1"/>
        <v>-0.65700901210200979</v>
      </c>
      <c r="P1088" s="13">
        <f ca="1"/>
        <v>0.98391152145620819</v>
      </c>
      <c r="Q1088" s="13">
        <f ca="1"/>
        <v>-0.58227397142540605</v>
      </c>
      <c r="R1088" s="14">
        <f ca="1"/>
        <v>1.6534460254547063</v>
      </c>
    </row>
    <row r="1089" spans="4:41" ht="24" customHeight="1" x14ac:dyDescent="0.3">
      <c r="E1089" s="18">
        <f ca="1"/>
        <v>1.0581211971637146</v>
      </c>
      <c r="O1089" s="12">
        <f ca="1"/>
        <v>8.1132817672196697E-2</v>
      </c>
      <c r="P1089" s="13">
        <f ca="1"/>
        <v>0.56719518009154912</v>
      </c>
      <c r="Q1089" s="13">
        <f ca="1"/>
        <v>-0.13234445067336947</v>
      </c>
      <c r="R1089" s="14">
        <f ca="1"/>
        <v>-3.3734170527054477E-2</v>
      </c>
    </row>
    <row r="1090" spans="4:41" ht="24" customHeight="1" x14ac:dyDescent="0.3">
      <c r="E1090" s="18">
        <f ca="1"/>
        <v>0.89200266767161862</v>
      </c>
      <c r="O1090" s="12">
        <f ca="1"/>
        <v>-0.55275650351844952</v>
      </c>
      <c r="P1090" s="13">
        <f ca="1"/>
        <v>-1.3087533223401084</v>
      </c>
      <c r="Q1090" s="13">
        <f ca="1"/>
        <v>1.2337945172575489</v>
      </c>
      <c r="R1090" s="14">
        <f ca="1"/>
        <v>0.83751027527291577</v>
      </c>
    </row>
    <row r="1091" spans="4:41" ht="24" customHeight="1" x14ac:dyDescent="0.3">
      <c r="E1091" s="18">
        <f ca="1"/>
        <v>1.2082965211839984</v>
      </c>
      <c r="O1091" s="12">
        <f ca="1"/>
        <v>-1.3798187592834945</v>
      </c>
      <c r="P1091" s="13">
        <f ca="1"/>
        <v>1.9114349256900511</v>
      </c>
      <c r="Q1091" s="13">
        <f ca="1"/>
        <v>-1.767681320786028</v>
      </c>
      <c r="R1091" s="14">
        <f ca="1"/>
        <v>-0.74942429957645029</v>
      </c>
    </row>
    <row r="1092" spans="4:41" ht="24" customHeight="1" x14ac:dyDescent="0.3">
      <c r="O1092" s="12">
        <f ca="1"/>
        <v>-0.66611279548730717</v>
      </c>
      <c r="P1092" s="13">
        <f ca="1"/>
        <v>4.3059276539834622E-2</v>
      </c>
      <c r="Q1092" s="13">
        <f ca="1"/>
        <v>1.1596483364850416</v>
      </c>
      <c r="R1092" s="14">
        <f ca="1"/>
        <v>7.3775831000725905E-2</v>
      </c>
    </row>
    <row r="1093" spans="4:41" ht="24" customHeight="1" x14ac:dyDescent="0.3">
      <c r="O1093" s="15">
        <f ca="1"/>
        <v>-2.2773890878708123</v>
      </c>
      <c r="P1093" s="16">
        <f ca="1"/>
        <v>0.32205316480406787</v>
      </c>
      <c r="Q1093" s="16">
        <f ca="1"/>
        <v>-0.29121332781640519</v>
      </c>
      <c r="R1093" s="17">
        <f ca="1"/>
        <v>-1.5935993743126622</v>
      </c>
    </row>
    <row r="1094" spans="4:41" ht="24" customHeight="1" x14ac:dyDescent="0.3">
      <c r="V1094" s="1" t="s">
        <v>17</v>
      </c>
      <c r="AB1094" s="1" t="s">
        <v>221</v>
      </c>
      <c r="AG1094" s="1" t="s">
        <v>222</v>
      </c>
      <c r="AL1094" s="1" t="s">
        <v>223</v>
      </c>
    </row>
    <row r="1095" spans="4:41" ht="24" customHeight="1" x14ac:dyDescent="0.3">
      <c r="D1095" s="7" t="s">
        <v>11</v>
      </c>
      <c r="E1095" s="18" cm="1">
        <f t="array" aca="1" ref="E1095:L1098" ca="1">(_xlfn.RANDARRAY(F1018,F1014)-0.5)*2</f>
        <v>-8.1586246830847031E-2</v>
      </c>
      <c r="F1095" s="18">
        <f ca="1"/>
        <v>-0.65041083515552511</v>
      </c>
      <c r="G1095" s="18">
        <f ca="1"/>
        <v>0.58837929472564809</v>
      </c>
      <c r="H1095" s="18">
        <f ca="1"/>
        <v>0.91381463796316931</v>
      </c>
      <c r="I1095" s="18">
        <f ca="1"/>
        <v>-0.91142622446837374</v>
      </c>
      <c r="J1095" s="18">
        <f ca="1"/>
        <v>0.89893117367596753</v>
      </c>
      <c r="K1095" s="18">
        <f ca="1"/>
        <v>0.12313895860013657</v>
      </c>
      <c r="L1095" s="18">
        <f ca="1"/>
        <v>-0.87557515234628891</v>
      </c>
      <c r="N1095" s="7" t="s">
        <v>12</v>
      </c>
      <c r="O1095" s="9" cm="1">
        <f t="array" aca="1" ref="O1095:R1098" ca="1">MMULT(_xlfn.ANCHORARRAY(E1095),_xlfn.ANCHORARRAY(O1086))</f>
        <v>1.7068154765705084</v>
      </c>
      <c r="P1095" s="10">
        <f ca="1"/>
        <v>4.6070110718823774</v>
      </c>
      <c r="Q1095" s="10">
        <f ca="1"/>
        <v>-2.0702785703327233</v>
      </c>
      <c r="R1095" s="11">
        <f ca="1"/>
        <v>2.2427497958129972</v>
      </c>
      <c r="W1095" s="9" cm="1">
        <f t="array" aca="1" ref="W1095:Z1098" ca="1">TRANSPOSE(_xlfn.ANCHORARRAY(O1100))</f>
        <v>2.6542149838968472</v>
      </c>
      <c r="X1095" s="10">
        <f ca="1"/>
        <v>-0.32981853477620382</v>
      </c>
      <c r="Y1095" s="10">
        <f ca="1"/>
        <v>-4.2759609038866859</v>
      </c>
      <c r="Z1095" s="11">
        <f ca="1"/>
        <v>1.6163514504375875</v>
      </c>
      <c r="AB1095" s="9" cm="1">
        <f t="array" aca="1" ref="AB1095:AE1098" ca="1">MMULT(_xlfn.ANCHORARRAY(W1095),_xlfn.ANCHORARRAY(O1095))/SQRT(F1018)</f>
        <v>4.8968473181289305</v>
      </c>
      <c r="AC1095" s="10">
        <f ca="1"/>
        <v>11.566399096002261</v>
      </c>
      <c r="AD1095" s="10">
        <f ca="1"/>
        <v>-6.1971997066450735</v>
      </c>
      <c r="AE1095" s="11">
        <f ca="1"/>
        <v>6.5689209467665171</v>
      </c>
      <c r="AG1095" s="9" cm="1">
        <f t="array" aca="1" ref="AG1095:AG1098" ca="1">_xlfn.LET(_xlpm.z,AB1095:AB1098,_xlpm.m,IF(_xlfn.SEQUENCE(F1017,1)&lt;=1,1,0),_xlpm.m*EXP(_xlpm.z)/SUM(_xlpm.m*EXP(_xlpm.z)))</f>
        <v>1</v>
      </c>
      <c r="AH1095" s="10" cm="1">
        <f t="array" aca="1" ref="AH1095:AH1098" ca="1">_xlfn.LET(_xlpm.z,AC1095:AC1098,_xlpm.m,IF(_xlfn.SEQUENCE(F1017,1)&lt;=2,1,0),_xlpm.m*EXP(_xlpm.z)/SUM(_xlpm.m*EXP(_xlpm.z)))</f>
        <v>0.99976271465403899</v>
      </c>
      <c r="AI1095" s="10" cm="1">
        <f t="array" aca="1" ref="AI1095:AI1098" ca="1">_xlfn.LET(_xlpm.z,AD1095:AD1098,_xlpm.m,IF(_xlfn.SEQUENCE(F1017,1)&lt;=3,1,0),_xlpm.m*EXP(_xlpm.z)/SUM(_xlpm.m*EXP(_xlpm.z)))</f>
        <v>2.2319651130174372E-3</v>
      </c>
      <c r="AJ1095" s="11" cm="1">
        <f t="array" aca="1" ref="AJ1095:AJ1098" ca="1">_xlfn.LET(_xlpm.z,AE1095:AE1098,_xlpm.m,IF(_xlfn.SEQUENCE(F1017,1)&lt;=4,1,0),_xlpm.m*EXP(_xlpm.z)/SUM(_xlpm.m*EXP(_xlpm.z)))</f>
        <v>0.78125618722633539</v>
      </c>
      <c r="AL1095" s="9" cm="1">
        <f t="array" aca="1" ref="AL1095:AO1098" ca="1">MMULT(_xlfn.ANCHORARRAY(O1105),AG1095:AJ1098)</f>
        <v>3.7585651714654027</v>
      </c>
      <c r="AM1095" s="10">
        <f ca="1"/>
        <v>3.7573743399611224</v>
      </c>
      <c r="AN1095" s="10">
        <f ca="1"/>
        <v>-1.1251447316489127</v>
      </c>
      <c r="AO1095" s="11">
        <f ca="1"/>
        <v>3.4152073071577358</v>
      </c>
    </row>
    <row r="1096" spans="4:41" ht="24" customHeight="1" x14ac:dyDescent="0.3">
      <c r="E1096" s="18">
        <f ca="1"/>
        <v>-0.59455507758424941</v>
      </c>
      <c r="F1096" s="18">
        <f ca="1"/>
        <v>0.56059416781478877</v>
      </c>
      <c r="G1096" s="18">
        <f ca="1"/>
        <v>-0.27438598521944568</v>
      </c>
      <c r="H1096" s="18">
        <f ca="1"/>
        <v>0.57724520625370568</v>
      </c>
      <c r="I1096" s="18">
        <f ca="1"/>
        <v>-0.55767197980612737</v>
      </c>
      <c r="J1096" s="18">
        <f ca="1"/>
        <v>-0.62591071259952047</v>
      </c>
      <c r="K1096" s="18">
        <f ca="1"/>
        <v>-0.48849003410619574</v>
      </c>
      <c r="L1096" s="18">
        <f ca="1"/>
        <v>-6.1025681609161886E-2</v>
      </c>
      <c r="O1096" s="12">
        <f ca="1"/>
        <v>1.7617355781729116</v>
      </c>
      <c r="P1096" s="13">
        <f ca="1"/>
        <v>-1.7776118746564107</v>
      </c>
      <c r="Q1096" s="13">
        <f ca="1"/>
        <v>0.23911243581850805</v>
      </c>
      <c r="R1096" s="14">
        <f ca="1"/>
        <v>-1.2503263808123735</v>
      </c>
      <c r="W1096" s="12">
        <f ca="1"/>
        <v>0.65962030326530685</v>
      </c>
      <c r="X1096" s="13">
        <f ca="1"/>
        <v>1.3438367515084271</v>
      </c>
      <c r="Y1096" s="13">
        <f ca="1"/>
        <v>0.19572458217157696</v>
      </c>
      <c r="Z1096" s="14">
        <f ca="1"/>
        <v>-2.7887530908110945</v>
      </c>
      <c r="AB1096" s="12">
        <f ca="1"/>
        <v>-3.0351686130495743</v>
      </c>
      <c r="AC1096" s="13">
        <f ca="1"/>
        <v>3.2203892598558932</v>
      </c>
      <c r="AD1096" s="13">
        <f ca="1"/>
        <v>-0.14188509731818508</v>
      </c>
      <c r="AE1096" s="14">
        <f ca="1"/>
        <v>0.9436752563022901</v>
      </c>
      <c r="AG1096" s="12">
        <f ca="1"/>
        <v>0</v>
      </c>
      <c r="AH1096" s="13">
        <f ca="1"/>
        <v>2.3728534596099228E-4</v>
      </c>
      <c r="AI1096" s="13">
        <f ca="1"/>
        <v>0.95164971757075634</v>
      </c>
      <c r="AJ1096" s="14">
        <f ca="1"/>
        <v>2.8169575799910683E-3</v>
      </c>
      <c r="AL1096" s="12">
        <f ca="1"/>
        <v>1.8734493578253524</v>
      </c>
      <c r="AM1096" s="13">
        <f ca="1"/>
        <v>1.8723658584919858</v>
      </c>
      <c r="AN1096" s="13">
        <f ca="1"/>
        <v>-2.4378693707472703</v>
      </c>
      <c r="AO1096" s="14">
        <f ca="1"/>
        <v>2.2001872324491831</v>
      </c>
    </row>
    <row r="1097" spans="4:41" ht="24" customHeight="1" x14ac:dyDescent="0.3">
      <c r="E1097" s="18">
        <f ca="1"/>
        <v>-0.22141456836504814</v>
      </c>
      <c r="F1097" s="18">
        <f ca="1"/>
        <v>0.84979815827942762</v>
      </c>
      <c r="G1097" s="18">
        <f ca="1"/>
        <v>-0.38306386128547398</v>
      </c>
      <c r="H1097" s="18">
        <f ca="1"/>
        <v>0.846430928805181</v>
      </c>
      <c r="I1097" s="18">
        <f ca="1"/>
        <v>0.18193623547278293</v>
      </c>
      <c r="J1097" s="18">
        <f ca="1"/>
        <v>-0.96088052308729344</v>
      </c>
      <c r="K1097" s="18">
        <f ca="1"/>
        <v>7.0518664093236261E-2</v>
      </c>
      <c r="L1097" s="18">
        <f ca="1"/>
        <v>0.34128429833890994</v>
      </c>
      <c r="O1097" s="12">
        <f ca="1"/>
        <v>-7.241328135726921E-2</v>
      </c>
      <c r="P1097" s="13">
        <f ca="1"/>
        <v>-3.2852198929163126</v>
      </c>
      <c r="Q1097" s="13">
        <f ca="1"/>
        <v>1.532674687600712</v>
      </c>
      <c r="R1097" s="14">
        <f ca="1"/>
        <v>-1.9178400682772525</v>
      </c>
      <c r="W1097" s="12">
        <f ca="1"/>
        <v>1.4091095182032327</v>
      </c>
      <c r="X1097" s="13">
        <f ca="1"/>
        <v>-2.0283497126390109</v>
      </c>
      <c r="Y1097" s="13">
        <f ca="1"/>
        <v>-1.6522586303029236</v>
      </c>
      <c r="Z1097" s="14">
        <f ca="1"/>
        <v>2.4411475130404243</v>
      </c>
      <c r="AB1097" s="12">
        <f ca="1"/>
        <v>3.6552582851437476</v>
      </c>
      <c r="AC1097" s="13">
        <f ca="1"/>
        <v>4.9468249547487169</v>
      </c>
      <c r="AD1097" s="13">
        <f ca="1"/>
        <v>-3.1688719108422116</v>
      </c>
      <c r="AE1097" s="14">
        <f ca="1"/>
        <v>3.3543161620230952</v>
      </c>
      <c r="AG1097" s="12">
        <f ca="1"/>
        <v>0</v>
      </c>
      <c r="AH1097" s="13">
        <f ca="1"/>
        <v>0</v>
      </c>
      <c r="AI1097" s="13">
        <f ca="1"/>
        <v>4.611831731622619E-2</v>
      </c>
      <c r="AJ1097" s="14">
        <f ca="1"/>
        <v>3.1384003986342175E-2</v>
      </c>
      <c r="AL1097" s="12">
        <f ca="1"/>
        <v>3.7082438411702867</v>
      </c>
      <c r="AM1097" s="13">
        <f ca="1"/>
        <v>3.7071428542375848</v>
      </c>
      <c r="AN1097" s="13">
        <f ca="1"/>
        <v>-0.79724069351307603</v>
      </c>
      <c r="AO1097" s="14">
        <f ca="1"/>
        <v>3.37325712617384</v>
      </c>
    </row>
    <row r="1098" spans="4:41" ht="24" customHeight="1" x14ac:dyDescent="0.3">
      <c r="E1098" s="18">
        <f ca="1"/>
        <v>-0.81149552428320293</v>
      </c>
      <c r="F1098" s="18">
        <f ca="1"/>
        <v>0.58850967233515705</v>
      </c>
      <c r="G1098" s="18">
        <f ca="1"/>
        <v>-0.39228098987321047</v>
      </c>
      <c r="H1098" s="18">
        <f ca="1"/>
        <v>-0.30799915068646877</v>
      </c>
      <c r="I1098" s="18">
        <f ca="1"/>
        <v>-0.81948374378032218</v>
      </c>
      <c r="J1098" s="18">
        <f ca="1"/>
        <v>-0.544529360059685</v>
      </c>
      <c r="K1098" s="18">
        <f ca="1"/>
        <v>-0.95123965833645352</v>
      </c>
      <c r="L1098" s="18">
        <f ca="1"/>
        <v>-0.56380727295713573</v>
      </c>
      <c r="O1098" s="15">
        <f ca="1"/>
        <v>3.4242900015025945</v>
      </c>
      <c r="P1098" s="16">
        <f ca="1"/>
        <v>-2.3070235075643666</v>
      </c>
      <c r="Q1098" s="16">
        <f ca="1"/>
        <v>-0.16513379884951201</v>
      </c>
      <c r="R1098" s="17">
        <f ca="1"/>
        <v>-0.88340205097803959</v>
      </c>
      <c r="W1098" s="15">
        <f ca="1"/>
        <v>1.772662249356598</v>
      </c>
      <c r="X1098" s="16">
        <f ca="1"/>
        <v>-1.6795173201996925</v>
      </c>
      <c r="Y1098" s="16">
        <f ca="1"/>
        <v>-2.4287515871940424</v>
      </c>
      <c r="Z1098" s="17">
        <f ca="1"/>
        <v>0.54532450155829348</v>
      </c>
      <c r="AB1098" s="15">
        <f ca="1"/>
        <v>1.0549825275357769</v>
      </c>
      <c r="AC1098" s="16">
        <f ca="1"/>
        <v>8.936555563213993</v>
      </c>
      <c r="AD1098" s="16">
        <f ca="1"/>
        <v>-3.9420178657117448</v>
      </c>
      <c r="AE1098" s="17">
        <f ca="1"/>
        <v>5.1258995184772145</v>
      </c>
      <c r="AG1098" s="15">
        <f ca="1"/>
        <v>0</v>
      </c>
      <c r="AH1098" s="16">
        <f ca="1"/>
        <v>0</v>
      </c>
      <c r="AI1098" s="16">
        <f ca="1"/>
        <v>0</v>
      </c>
      <c r="AJ1098" s="17">
        <f ca="1"/>
        <v>0.1845428512073313</v>
      </c>
      <c r="AL1098" s="15">
        <f ca="1"/>
        <v>1.6607058045766274</v>
      </c>
      <c r="AM1098" s="16">
        <f ca="1"/>
        <v>1.6592714404874533</v>
      </c>
      <c r="AN1098" s="16">
        <f ca="1"/>
        <v>-4.0754349439620743</v>
      </c>
      <c r="AO1098" s="17">
        <f ca="1"/>
        <v>1.3479662486495754</v>
      </c>
    </row>
    <row r="1100" spans="4:41" ht="24" customHeight="1" x14ac:dyDescent="0.3">
      <c r="D1100" s="7" t="s">
        <v>13</v>
      </c>
      <c r="E1100" s="18" cm="1">
        <f t="array" aca="1" ref="E1100:L1103" ca="1">(_xlfn.RANDARRAY(F1018,F1014)-0.5)*2</f>
        <v>-0.84812222398420678</v>
      </c>
      <c r="F1100" s="18">
        <f ca="1"/>
        <v>-0.66164365281593662</v>
      </c>
      <c r="G1100" s="18">
        <f ca="1"/>
        <v>-0.30628734968472138</v>
      </c>
      <c r="H1100" s="18">
        <f ca="1"/>
        <v>0.593654119215973</v>
      </c>
      <c r="I1100" s="18">
        <f ca="1"/>
        <v>-1.4466711351933892E-2</v>
      </c>
      <c r="J1100" s="18">
        <f ca="1"/>
        <v>0.2837900863003755</v>
      </c>
      <c r="K1100" s="18">
        <f ca="1"/>
        <v>-6.3972615588928416E-2</v>
      </c>
      <c r="L1100" s="18">
        <f ca="1"/>
        <v>-0.51261350750274381</v>
      </c>
      <c r="N1100" s="7" t="s">
        <v>14</v>
      </c>
      <c r="O1100" s="9" cm="1">
        <f t="array" aca="1" ref="O1100:R1103" ca="1">MMULT(_xlfn.ANCHORARRAY(E1100),_xlfn.ANCHORARRAY(O1086))</f>
        <v>2.6542149838968472</v>
      </c>
      <c r="P1100" s="10">
        <f ca="1"/>
        <v>0.65962030326530685</v>
      </c>
      <c r="Q1100" s="10">
        <f ca="1"/>
        <v>1.4091095182032327</v>
      </c>
      <c r="R1100" s="11">
        <f ca="1"/>
        <v>1.772662249356598</v>
      </c>
    </row>
    <row r="1101" spans="4:41" ht="24" customHeight="1" x14ac:dyDescent="0.3">
      <c r="E1101" s="18">
        <f ca="1"/>
        <v>-0.68974809981787422</v>
      </c>
      <c r="F1101" s="18">
        <f ca="1"/>
        <v>0.71624409615021767</v>
      </c>
      <c r="G1101" s="18">
        <f ca="1"/>
        <v>-5.5010259680376983E-3</v>
      </c>
      <c r="H1101" s="18">
        <f ca="1"/>
        <v>0.87731811942122295</v>
      </c>
      <c r="I1101" s="18">
        <f ca="1"/>
        <v>-0.54107537392364558</v>
      </c>
      <c r="J1101" s="18">
        <f ca="1"/>
        <v>0.99831695559015587</v>
      </c>
      <c r="K1101" s="18">
        <f ca="1"/>
        <v>0.10800620311839548</v>
      </c>
      <c r="L1101" s="18">
        <f ca="1"/>
        <v>-0.41335499760843541</v>
      </c>
      <c r="O1101" s="12">
        <f ca="1"/>
        <v>-0.32981853477620382</v>
      </c>
      <c r="P1101" s="13">
        <f ca="1"/>
        <v>1.3438367515084271</v>
      </c>
      <c r="Q1101" s="13">
        <f ca="1"/>
        <v>-2.0283497126390109</v>
      </c>
      <c r="R1101" s="14">
        <f ca="1"/>
        <v>-1.6795173201996925</v>
      </c>
    </row>
    <row r="1102" spans="4:41" ht="24" customHeight="1" x14ac:dyDescent="0.3">
      <c r="E1102" s="18">
        <f ca="1"/>
        <v>0.63774006635529679</v>
      </c>
      <c r="F1102" s="18">
        <f ca="1"/>
        <v>0.99008003893368057</v>
      </c>
      <c r="G1102" s="18">
        <f ca="1"/>
        <v>0.64436613310556545</v>
      </c>
      <c r="H1102" s="18">
        <f ca="1"/>
        <v>0.72722260646146841</v>
      </c>
      <c r="I1102" s="18">
        <f ca="1"/>
        <v>3.5099212678690428E-2</v>
      </c>
      <c r="J1102" s="18">
        <f ca="1"/>
        <v>-0.11015466449917</v>
      </c>
      <c r="K1102" s="18">
        <f ca="1"/>
        <v>0.51777341762549245</v>
      </c>
      <c r="L1102" s="18">
        <f ca="1"/>
        <v>0.84815513177988988</v>
      </c>
      <c r="O1102" s="12">
        <f ca="1"/>
        <v>-4.2759609038866859</v>
      </c>
      <c r="P1102" s="13">
        <f ca="1"/>
        <v>0.19572458217157696</v>
      </c>
      <c r="Q1102" s="13">
        <f ca="1"/>
        <v>-1.6522586303029236</v>
      </c>
      <c r="R1102" s="14">
        <f ca="1"/>
        <v>-2.4287515871940424</v>
      </c>
    </row>
    <row r="1103" spans="4:41" ht="24" customHeight="1" x14ac:dyDescent="0.3">
      <c r="E1103" s="18">
        <f ca="1"/>
        <v>-0.49139966818500813</v>
      </c>
      <c r="F1103" s="18">
        <f ca="1"/>
        <v>-0.34400990160844636</v>
      </c>
      <c r="G1103" s="18">
        <f ca="1"/>
        <v>-0.64370096903351426</v>
      </c>
      <c r="H1103" s="18">
        <f ca="1"/>
        <v>-1.8748234604243574E-2</v>
      </c>
      <c r="I1103" s="18">
        <f ca="1"/>
        <v>0.85247048486531618</v>
      </c>
      <c r="J1103" s="18">
        <f ca="1"/>
        <v>-0.60304140662402528</v>
      </c>
      <c r="K1103" s="18">
        <f ca="1"/>
        <v>-0.82696975255415772</v>
      </c>
      <c r="L1103" s="18">
        <f ca="1"/>
        <v>0.25682050138849366</v>
      </c>
      <c r="O1103" s="15">
        <f ca="1"/>
        <v>1.6163514504375875</v>
      </c>
      <c r="P1103" s="16">
        <f ca="1"/>
        <v>-2.7887530908110945</v>
      </c>
      <c r="Q1103" s="16">
        <f ca="1"/>
        <v>2.4411475130404243</v>
      </c>
      <c r="R1103" s="17">
        <f ca="1"/>
        <v>0.54532450155829348</v>
      </c>
    </row>
    <row r="1105" spans="4:41" ht="24" customHeight="1" x14ac:dyDescent="0.3">
      <c r="D1105" s="7" t="s">
        <v>15</v>
      </c>
      <c r="E1105" s="18" cm="1">
        <f t="array" aca="1" ref="E1105:L1108" ca="1">(_xlfn.RANDARRAY(F1018,F1014)-0.5)*2</f>
        <v>-0.9403476988237669</v>
      </c>
      <c r="F1105" s="18">
        <f ca="1"/>
        <v>-0.22900923614464119</v>
      </c>
      <c r="G1105" s="18">
        <f ca="1"/>
        <v>1.8380098119452626E-4</v>
      </c>
      <c r="H1105" s="18">
        <f ca="1"/>
        <v>-0.94615846214905552</v>
      </c>
      <c r="I1105" s="18">
        <f ca="1"/>
        <v>-0.18823174006428589</v>
      </c>
      <c r="J1105" s="18">
        <f ca="1"/>
        <v>-8.4307618538524753E-2</v>
      </c>
      <c r="K1105" s="18">
        <f ca="1"/>
        <v>-0.33345446866781314</v>
      </c>
      <c r="L1105" s="18">
        <f ca="1"/>
        <v>-0.98271230944483001</v>
      </c>
      <c r="N1105" s="7" t="s">
        <v>16</v>
      </c>
      <c r="O1105" s="9" cm="1">
        <f t="array" aca="1" ref="O1105:R1108" ca="1">MMULT(_xlfn.ANCHORARRAY(E1105),_xlfn.ANCHORARRAY(O1086))</f>
        <v>3.7585651714654027</v>
      </c>
      <c r="P1105" s="10">
        <f ca="1"/>
        <v>-1.2599980249148979</v>
      </c>
      <c r="Q1105" s="10">
        <f ca="1"/>
        <v>1.4211933647519934</v>
      </c>
      <c r="R1105" s="11">
        <f ca="1"/>
        <v>2.3720866549714685</v>
      </c>
    </row>
    <row r="1106" spans="4:41" ht="24" customHeight="1" x14ac:dyDescent="0.3">
      <c r="E1106" s="18">
        <f ca="1"/>
        <v>-0.27040878316756389</v>
      </c>
      <c r="F1106" s="18">
        <f ca="1"/>
        <v>1.6770489437591962E-2</v>
      </c>
      <c r="G1106" s="18">
        <f ca="1"/>
        <v>0.71658020249468768</v>
      </c>
      <c r="H1106" s="18">
        <f ca="1"/>
        <v>-0.21872079381362175</v>
      </c>
      <c r="I1106" s="18">
        <f ca="1"/>
        <v>0.8769146124465772</v>
      </c>
      <c r="J1106" s="18">
        <f ca="1"/>
        <v>-0.87730314801093101</v>
      </c>
      <c r="K1106" s="18">
        <f ca="1"/>
        <v>-0.12816307044997854</v>
      </c>
      <c r="L1106" s="18">
        <f ca="1"/>
        <v>-0.57791967017471935</v>
      </c>
      <c r="O1106" s="12">
        <f ca="1"/>
        <v>1.8734493578253524</v>
      </c>
      <c r="P1106" s="13">
        <f ca="1"/>
        <v>-2.6927800862159543</v>
      </c>
      <c r="Q1106" s="13">
        <f ca="1"/>
        <v>2.6135507795342008</v>
      </c>
      <c r="R1106" s="14">
        <f ca="1"/>
        <v>3.5878121804933105</v>
      </c>
    </row>
    <row r="1107" spans="4:41" ht="24" customHeight="1" x14ac:dyDescent="0.3">
      <c r="E1107" s="18">
        <f ca="1"/>
        <v>0.8192525607016008</v>
      </c>
      <c r="F1107" s="18">
        <f ca="1"/>
        <v>-0.78176810690675858</v>
      </c>
      <c r="G1107" s="18">
        <f ca="1"/>
        <v>-0.58363839058218847</v>
      </c>
      <c r="H1107" s="18">
        <f ca="1"/>
        <v>-0.846726973633809</v>
      </c>
      <c r="I1107" s="18">
        <f ca="1"/>
        <v>-7.4888928342975447E-2</v>
      </c>
      <c r="J1107" s="18">
        <f ca="1"/>
        <v>-0.7929959921548364</v>
      </c>
      <c r="K1107" s="18">
        <f ca="1"/>
        <v>9.1504391695548026E-2</v>
      </c>
      <c r="L1107" s="18">
        <f ca="1"/>
        <v>-0.95188714096826699</v>
      </c>
      <c r="O1107" s="12">
        <f ca="1"/>
        <v>3.7082438411702867</v>
      </c>
      <c r="P1107" s="13">
        <f ca="1"/>
        <v>-0.93168420934949769</v>
      </c>
      <c r="Q1107" s="13">
        <f ca="1"/>
        <v>1.7589464450584398</v>
      </c>
      <c r="R1107" s="14">
        <f ca="1"/>
        <v>2.295349895141221</v>
      </c>
    </row>
    <row r="1108" spans="4:41" ht="24" customHeight="1" x14ac:dyDescent="0.3">
      <c r="E1108" s="18">
        <f ca="1"/>
        <v>1.5166280528744025E-2</v>
      </c>
      <c r="F1108" s="18">
        <f ca="1"/>
        <v>0.71484564229491454</v>
      </c>
      <c r="G1108" s="18">
        <f ca="1"/>
        <v>-0.72463449944911673</v>
      </c>
      <c r="H1108" s="18">
        <f ca="1"/>
        <v>-0.81056654203232492</v>
      </c>
      <c r="I1108" s="18">
        <f ca="1"/>
        <v>0.9307749432760577</v>
      </c>
      <c r="J1108" s="18">
        <f ca="1"/>
        <v>-0.34407680167858157</v>
      </c>
      <c r="K1108" s="18">
        <f ca="1"/>
        <v>0.10951479364178418</v>
      </c>
      <c r="L1108" s="18">
        <f ca="1"/>
        <v>-0.97495561107730699</v>
      </c>
      <c r="O1108" s="15">
        <f ca="1"/>
        <v>1.6607058045766274</v>
      </c>
      <c r="P1108" s="16">
        <f ca="1"/>
        <v>-4.384185351111606</v>
      </c>
      <c r="Q1108" s="16">
        <f ca="1"/>
        <v>2.018008791261503</v>
      </c>
      <c r="R1108" s="17">
        <f ca="1"/>
        <v>-2.4577930175113671E-3</v>
      </c>
    </row>
    <row r="1109" spans="4:41" ht="24" customHeight="1" x14ac:dyDescent="0.3">
      <c r="AL1109" s="1" t="s">
        <v>290</v>
      </c>
    </row>
    <row r="1110" spans="4:41" ht="24" customHeight="1" x14ac:dyDescent="0.3">
      <c r="D1110" s="7" t="s">
        <v>224</v>
      </c>
      <c r="E1110" s="18" cm="1">
        <f t="array" aca="1" ref="E1110:H1117" ca="1">(_xlfn.RANDARRAY(F1014,F1018)-0.5)*2</f>
        <v>0.76256303579583529</v>
      </c>
      <c r="F1110" s="18">
        <f ca="1"/>
        <v>0.84022496202229791</v>
      </c>
      <c r="G1110" s="18">
        <f ca="1"/>
        <v>-6.6126910518195636E-2</v>
      </c>
      <c r="H1110" s="18">
        <f ca="1"/>
        <v>0.71700536117801583</v>
      </c>
      <c r="N1110" s="7" t="s">
        <v>289</v>
      </c>
      <c r="O1110" s="9" cm="1">
        <f t="array" aca="1" ref="O1110:R1117" ca="1">MMULT(_xlfn.ANCHORARRAY(E1110),_xlfn.ANCHORARRAY(AL1095))</f>
        <v>5.3857820394748313</v>
      </c>
      <c r="P1110" s="10">
        <f ca="1"/>
        <v>5.3830079303241387</v>
      </c>
      <c r="Q1110" s="10">
        <f ca="1"/>
        <v>-5.7757421216789648</v>
      </c>
      <c r="R1110" s="11">
        <f ca="1"/>
        <v>5.1963990406762832</v>
      </c>
      <c r="AL1110" s="9" cm="1">
        <f t="array" aca="1" ref="AL1110:AO1117" ca="1">_xlfn.ANCHORARRAY(AG1073)+_xlfn.ANCHORARRAY(O1110)</f>
        <v>4.1327095919686823</v>
      </c>
      <c r="AM1110" s="10">
        <f ca="1"/>
        <v>6.3109714553016731</v>
      </c>
      <c r="AN1110" s="10">
        <f ca="1"/>
        <v>-8.0882581674823122</v>
      </c>
      <c r="AO1110" s="11">
        <f ca="1"/>
        <v>4.2022061811000739</v>
      </c>
    </row>
    <row r="1111" spans="4:41" ht="24" customHeight="1" x14ac:dyDescent="0.3">
      <c r="E1111" s="18">
        <f ca="1"/>
        <v>0.73598611470221575</v>
      </c>
      <c r="F1111" s="18">
        <f ca="1"/>
        <v>-0.74865732534557594</v>
      </c>
      <c r="G1111" s="18">
        <f ca="1"/>
        <v>0.54613767971308302</v>
      </c>
      <c r="H1111" s="18">
        <f ca="1"/>
        <v>0.69118694025505123</v>
      </c>
      <c r="O1111" s="12">
        <f ca="1"/>
        <v>4.5367500429581664</v>
      </c>
      <c r="P1111" s="13">
        <f ca="1"/>
        <v>4.5350920730441704</v>
      </c>
      <c r="Q1111" s="13">
        <f ca="1"/>
        <v>-2.2552527285321395</v>
      </c>
      <c r="R1111" s="14">
        <f ca="1"/>
        <v>3.6403183551281315</v>
      </c>
      <c r="AL1111" s="12">
        <f ca="1"/>
        <v>2.9051872211776715</v>
      </c>
      <c r="AM1111" s="13">
        <f ca="1"/>
        <v>2.9094043431232866</v>
      </c>
      <c r="AN1111" s="13">
        <f ca="1"/>
        <v>-3.8947425088827292</v>
      </c>
      <c r="AO1111" s="14">
        <f ca="1"/>
        <v>-0.78898625807572342</v>
      </c>
    </row>
    <row r="1112" spans="4:41" ht="24" customHeight="1" x14ac:dyDescent="0.3">
      <c r="E1112" s="18">
        <f ca="1"/>
        <v>0.20518588592268605</v>
      </c>
      <c r="F1112" s="18">
        <f ca="1"/>
        <v>0.62346852502836247</v>
      </c>
      <c r="G1112" s="18">
        <f ca="1"/>
        <v>-0.91649838936563244</v>
      </c>
      <c r="H1112" s="18">
        <f ca="1"/>
        <v>-0.81032177203873568</v>
      </c>
      <c r="O1112" s="12">
        <f ca="1"/>
        <v>-2.8050643458631543</v>
      </c>
      <c r="P1112" s="13">
        <f ca="1"/>
        <v>-2.8038128662105661</v>
      </c>
      <c r="Q1112" s="13">
        <f ca="1"/>
        <v>2.2822848378151597</v>
      </c>
      <c r="R1112" s="14">
        <f ca="1"/>
        <v>-2.1113712967784792</v>
      </c>
      <c r="AL1112" s="12">
        <f ca="1"/>
        <v>-3.7686965904417802</v>
      </c>
      <c r="AM1112" s="13">
        <f ca="1"/>
        <v>-1.6376074843031003</v>
      </c>
      <c r="AN1112" s="13">
        <f ca="1"/>
        <v>1.1832338717995976</v>
      </c>
      <c r="AO1112" s="14">
        <f ca="1"/>
        <v>1.7868068468501863</v>
      </c>
    </row>
    <row r="1113" spans="4:41" ht="24" customHeight="1" x14ac:dyDescent="0.3">
      <c r="E1113" s="18">
        <f ca="1"/>
        <v>0.85036922906459367</v>
      </c>
      <c r="F1113" s="18">
        <f ca="1"/>
        <v>-0.36262968421133346</v>
      </c>
      <c r="G1113" s="18">
        <f ca="1"/>
        <v>0.95572412439800081</v>
      </c>
      <c r="H1113" s="18">
        <f ca="1"/>
        <v>0.65608924260135248</v>
      </c>
      <c r="O1113" s="12">
        <f ca="1"/>
        <v>7.1504291298990337</v>
      </c>
      <c r="P1113" s="13">
        <f ca="1"/>
        <v>7.1478160818307845</v>
      </c>
      <c r="Q1113" s="13">
        <f ca="1"/>
        <v>-3.5085358473732122</v>
      </c>
      <c r="R1113" s="14">
        <f ca="1"/>
        <v>6.214623371985132</v>
      </c>
      <c r="AL1113" s="12">
        <f ca="1"/>
        <v>7.2917356588495785</v>
      </c>
      <c r="AM1113" s="13">
        <f ca="1"/>
        <v>7.946136430861749</v>
      </c>
      <c r="AN1113" s="13">
        <f ca="1"/>
        <v>-3.8051704864388016</v>
      </c>
      <c r="AO1113" s="14">
        <f ca="1"/>
        <v>6.1201808951587475</v>
      </c>
    </row>
    <row r="1114" spans="4:41" ht="24" customHeight="1" x14ac:dyDescent="0.3">
      <c r="E1114" s="18">
        <f ca="1"/>
        <v>-0.69626256571101619</v>
      </c>
      <c r="F1114" s="18">
        <f ca="1"/>
        <v>0.53756222165095924</v>
      </c>
      <c r="G1114" s="18">
        <f ca="1"/>
        <v>-8.9080091196967359E-2</v>
      </c>
      <c r="H1114" s="18">
        <f ca="1"/>
        <v>-0.20440259166359276</v>
      </c>
      <c r="O1114" s="12">
        <f ca="1"/>
        <v>-2.2796359007316838</v>
      </c>
      <c r="P1114" s="13">
        <f ca="1"/>
        <v>-2.2789979538883975</v>
      </c>
      <c r="Q1114" s="13">
        <f ca="1"/>
        <v>0.37693742100667149</v>
      </c>
      <c r="R1114" s="14">
        <f ca="1"/>
        <v>-1.7711613125226071</v>
      </c>
      <c r="AL1114" s="12">
        <f ca="1"/>
        <v>-3.1463328691817041</v>
      </c>
      <c r="AM1114" s="13">
        <f ca="1"/>
        <v>-3.9373251070615813</v>
      </c>
      <c r="AN1114" s="13">
        <f ca="1"/>
        <v>2.8665210009699655</v>
      </c>
      <c r="AO1114" s="14">
        <f ca="1"/>
        <v>0.33967823928558483</v>
      </c>
    </row>
    <row r="1115" spans="4:41" ht="24" customHeight="1" x14ac:dyDescent="0.3">
      <c r="E1115" s="18">
        <f ca="1"/>
        <v>0.42973252076699087</v>
      </c>
      <c r="F1115" s="18">
        <f ca="1"/>
        <v>0.56435474702135968</v>
      </c>
      <c r="G1115" s="18">
        <f ca="1"/>
        <v>0.95050560699797471</v>
      </c>
      <c r="H1115" s="18">
        <f ca="1"/>
        <v>8.4181889131079046E-2</v>
      </c>
      <c r="O1115" s="12">
        <f ca="1"/>
        <v>6.3369756390619738</v>
      </c>
      <c r="P1115" s="13">
        <f ca="1"/>
        <v>6.3346851803141577</v>
      </c>
      <c r="Q1115" s="13">
        <f ca="1"/>
        <v>-2.9601939956830567</v>
      </c>
      <c r="R1115" s="14">
        <f ca="1"/>
        <v>6.0290859115855886</v>
      </c>
      <c r="AL1115" s="12">
        <f ca="1"/>
        <v>4.1905297947013054</v>
      </c>
      <c r="AM1115" s="13">
        <f ca="1"/>
        <v>8.7375890999795729</v>
      </c>
      <c r="AN1115" s="13">
        <f ca="1"/>
        <v>-6.4989638716753753</v>
      </c>
      <c r="AO1115" s="14">
        <f ca="1"/>
        <v>4.1551388250788985</v>
      </c>
    </row>
    <row r="1116" spans="4:41" ht="24" customHeight="1" x14ac:dyDescent="0.3">
      <c r="E1116" s="18">
        <f ca="1"/>
        <v>0.34050101591850357</v>
      </c>
      <c r="F1116" s="18">
        <f ca="1"/>
        <v>0.44047029103724933</v>
      </c>
      <c r="G1116" s="18">
        <f ca="1"/>
        <v>-0.27766836321177912</v>
      </c>
      <c r="H1116" s="18">
        <f ca="1"/>
        <v>-0.56651086066093814</v>
      </c>
      <c r="O1116" s="12">
        <f ca="1"/>
        <v>0.13452417074151979</v>
      </c>
      <c r="P1116" s="13">
        <f ca="1"/>
        <v>0.13475973421199816</v>
      </c>
      <c r="Q1116" s="13">
        <f ca="1"/>
        <v>1.0732247206995635</v>
      </c>
      <c r="R1116" s="14">
        <f ca="1"/>
        <v>0.43171436369131067</v>
      </c>
      <c r="AL1116" s="12">
        <f ca="1"/>
        <v>-1.0946542522830804</v>
      </c>
      <c r="AM1116" s="13">
        <f ca="1"/>
        <v>0.19897124361109561</v>
      </c>
      <c r="AN1116" s="13">
        <f ca="1"/>
        <v>3.8270977942571811</v>
      </c>
      <c r="AO1116" s="14">
        <f ca="1"/>
        <v>0.65054741932183036</v>
      </c>
    </row>
    <row r="1117" spans="4:41" ht="24" customHeight="1" x14ac:dyDescent="0.3">
      <c r="E1117" s="18">
        <f ca="1"/>
        <v>0.56186149592526347</v>
      </c>
      <c r="F1117" s="18">
        <f ca="1"/>
        <v>6.124611761676535E-2</v>
      </c>
      <c r="G1117" s="18">
        <f ca="1"/>
        <v>0.75758947968209389</v>
      </c>
      <c r="H1117" s="18">
        <f ca="1"/>
        <v>0.13544596192274705</v>
      </c>
      <c r="O1117" s="15">
        <f ca="1"/>
        <v>5.2607969668286678</v>
      </c>
      <c r="P1117" s="16">
        <f ca="1"/>
        <v>5.2590331493893814</v>
      </c>
      <c r="Q1117" s="16">
        <f ca="1"/>
        <v>-1.937467904690267</v>
      </c>
      <c r="R1117" s="17">
        <f ca="1"/>
        <v>4.7917471087517178</v>
      </c>
      <c r="AL1117" s="15">
        <f ca="1"/>
        <v>2.1584025128743058</v>
      </c>
      <c r="AM1117" s="16">
        <f ca="1"/>
        <v>5.613574054850309</v>
      </c>
      <c r="AN1117" s="16">
        <f ca="1"/>
        <v>-2.4479981613074382</v>
      </c>
      <c r="AO1117" s="17">
        <f ca="1"/>
        <v>1.3021877261608017</v>
      </c>
    </row>
    <row r="1119" spans="4:41" ht="24" customHeight="1" x14ac:dyDescent="0.3">
      <c r="D1119" s="3" t="s">
        <v>291</v>
      </c>
    </row>
    <row r="1120" spans="4:41" ht="24" customHeight="1" x14ac:dyDescent="0.3">
      <c r="D1120" s="7" t="s">
        <v>292</v>
      </c>
      <c r="E1120" s="18" cm="1">
        <f t="array" aca="1" ref="E1120:E1127" ca="1">_xlfn.RANDARRAY(F1014,1)*0.5+0.75</f>
        <v>1.0962574518429746</v>
      </c>
      <c r="N1120" s="7" t="s">
        <v>293</v>
      </c>
      <c r="O1120" s="19" cm="1">
        <f t="array" aca="1" ref="O1120:R1120" ca="1">SQRT(MMULT(TRANSPOSE(_xlfn.SEQUENCE(F1014,1,1,0)),_xlfn.ANCHORARRAY(AL1110)*_xlfn.ANCHORARRAY(AL1110))/F1014+F1020)</f>
        <v>3.9719140866619029</v>
      </c>
      <c r="P1120" s="20">
        <f ca="1"/>
        <v>5.4488030829690368</v>
      </c>
      <c r="Q1120" s="20">
        <f ca="1"/>
        <v>4.5765865937330643</v>
      </c>
      <c r="R1120" s="21">
        <f ca="1"/>
        <v>3.1310901013504298</v>
      </c>
    </row>
    <row r="1121" spans="4:18" ht="24" customHeight="1" x14ac:dyDescent="0.3">
      <c r="E1121" s="18">
        <f ca="1"/>
        <v>0.80369243720032402</v>
      </c>
    </row>
    <row r="1122" spans="4:18" ht="24" customHeight="1" x14ac:dyDescent="0.3">
      <c r="E1122" s="18">
        <f ca="1"/>
        <v>0.8191955651246221</v>
      </c>
      <c r="N1122" s="7" t="s">
        <v>294</v>
      </c>
      <c r="O1122" s="9" cm="1">
        <f t="array" aca="1" ref="O1122:R1129" ca="1">_xlfn.ANCHORARRAY(AL1110)/_xlfn.ANCHORARRAY(O1120)*_xlfn.ANCHORARRAY(E1120)</f>
        <v>1.1406373822919633</v>
      </c>
      <c r="P1122" s="10">
        <f ca="1"/>
        <v>1.2697191256309668</v>
      </c>
      <c r="Q1122" s="10">
        <f ca="1"/>
        <v>-1.9374293716356275</v>
      </c>
      <c r="R1122" s="11">
        <f ca="1"/>
        <v>1.4712766771625987</v>
      </c>
    </row>
    <row r="1123" spans="4:18" ht="24" customHeight="1" x14ac:dyDescent="0.3">
      <c r="E1123" s="18">
        <f ca="1"/>
        <v>1.1306272762013214</v>
      </c>
      <c r="O1123" s="12">
        <f ca="1"/>
        <v>0.58784680317035998</v>
      </c>
      <c r="P1123" s="13">
        <f ca="1"/>
        <v>0.42913392752887802</v>
      </c>
      <c r="Q1123" s="13">
        <f ca="1"/>
        <v>-0.68395408567554727</v>
      </c>
      <c r="R1123" s="14">
        <f ca="1"/>
        <v>-0.2025180586138213</v>
      </c>
    </row>
    <row r="1124" spans="4:18" ht="24" customHeight="1" x14ac:dyDescent="0.3">
      <c r="E1124" s="18">
        <f ca="1"/>
        <v>0.84964868887285994</v>
      </c>
      <c r="O1124" s="12">
        <f ca="1"/>
        <v>-0.77728255592377005</v>
      </c>
      <c r="P1124" s="13">
        <f ca="1"/>
        <v>-0.24620467433464274</v>
      </c>
      <c r="Q1124" s="13">
        <f ca="1"/>
        <v>0.21179538951819993</v>
      </c>
      <c r="R1124" s="14">
        <f ca="1"/>
        <v>0.46748710426527612</v>
      </c>
    </row>
    <row r="1125" spans="4:18" ht="24" customHeight="1" x14ac:dyDescent="0.3">
      <c r="E1125" s="18">
        <f ca="1"/>
        <v>0.97565464361152121</v>
      </c>
      <c r="O1125" s="12">
        <f ca="1"/>
        <v>2.0756328175451073</v>
      </c>
      <c r="P1125" s="13">
        <f ca="1"/>
        <v>1.6488242376074067</v>
      </c>
      <c r="Q1125" s="13">
        <f ca="1"/>
        <v>-0.94005203538707327</v>
      </c>
      <c r="R1125" s="14">
        <f ca="1"/>
        <v>2.2099790269108763</v>
      </c>
    </row>
    <row r="1126" spans="4:18" ht="24" customHeight="1" x14ac:dyDescent="0.3">
      <c r="E1126" s="18">
        <f ca="1"/>
        <v>0.75351118966313502</v>
      </c>
      <c r="O1126" s="12">
        <f ca="1"/>
        <v>-0.67304517135326769</v>
      </c>
      <c r="P1126" s="13">
        <f ca="1"/>
        <v>-0.61395926113340071</v>
      </c>
      <c r="Q1126" s="13">
        <f ca="1"/>
        <v>0.53217299841671151</v>
      </c>
      <c r="R1126" s="14">
        <f ca="1"/>
        <v>9.2174661637224473E-2</v>
      </c>
    </row>
    <row r="1127" spans="4:18" ht="24" customHeight="1" x14ac:dyDescent="0.3">
      <c r="E1127" s="18">
        <f ca="1"/>
        <v>0.95475091449112481</v>
      </c>
      <c r="O1127" s="12">
        <f ca="1"/>
        <v>1.0293550575835466</v>
      </c>
      <c r="P1127" s="13">
        <f ca="1"/>
        <v>1.5645398171958358</v>
      </c>
      <c r="Q1127" s="13">
        <f ca="1"/>
        <v>-1.3854745562437887</v>
      </c>
      <c r="R1127" s="14">
        <f ca="1"/>
        <v>1.2947505048769685</v>
      </c>
    </row>
    <row r="1128" spans="4:18" ht="24" customHeight="1" x14ac:dyDescent="0.3">
      <c r="O1128" s="12">
        <f ca="1"/>
        <v>-0.20766668410011987</v>
      </c>
      <c r="P1128" s="13">
        <f ca="1"/>
        <v>2.7515594929603385E-2</v>
      </c>
      <c r="Q1128" s="13">
        <f ca="1"/>
        <v>0.63011175531055363</v>
      </c>
      <c r="R1128" s="14">
        <f ca="1"/>
        <v>0.15655721937035769</v>
      </c>
    </row>
    <row r="1129" spans="4:18" ht="24" customHeight="1" x14ac:dyDescent="0.3">
      <c r="O1129" s="15">
        <f ca="1"/>
        <v>0.5188271266810256</v>
      </c>
      <c r="P1129" s="16">
        <f ca="1"/>
        <v>0.98362243612437039</v>
      </c>
      <c r="Q1129" s="16">
        <f ca="1"/>
        <v>-0.51069250746426298</v>
      </c>
      <c r="R1129" s="17">
        <f ca="1"/>
        <v>0.39707095041912954</v>
      </c>
    </row>
    <row r="1130" spans="4:18" ht="24" customHeight="1" x14ac:dyDescent="0.3">
      <c r="O1130" s="1" t="s">
        <v>295</v>
      </c>
    </row>
    <row r="1131" spans="4:18" ht="24" customHeight="1" x14ac:dyDescent="0.3">
      <c r="D1131" s="7" t="s">
        <v>137</v>
      </c>
      <c r="E1131" s="18" cm="1">
        <f t="array" aca="1" ref="E1131:L1136" ca="1">(_xlfn.RANDARRAY(F1019,F1014)-0.5)*2</f>
        <v>-0.59104153626206513</v>
      </c>
      <c r="F1131" s="18">
        <f ca="1"/>
        <v>0.34172581526297119</v>
      </c>
      <c r="G1131" s="18">
        <f ca="1"/>
        <v>-0.16518285970411917</v>
      </c>
      <c r="H1131" s="18">
        <f ca="1"/>
        <v>0.51297652009053829</v>
      </c>
      <c r="I1131" s="18">
        <f ca="1"/>
        <v>-0.82146953106754994</v>
      </c>
      <c r="J1131" s="18">
        <f ca="1"/>
        <v>-0.72013812574974168</v>
      </c>
      <c r="K1131" s="18">
        <f ca="1"/>
        <v>0.39816768670945679</v>
      </c>
      <c r="L1131" s="18">
        <f ca="1"/>
        <v>-0.87437317919169999</v>
      </c>
      <c r="O1131" s="9" cm="1">
        <f t="array" aca="1" ref="O1131:R1136" ca="1">MMULT(_xlfn.ANCHORARRAY(E1131),_xlfn.ANCHORARRAY(O1122))/(1+EXP(-MMULT(_xlfn.ANCHORARRAY(E1131),_xlfn.ANCHORARRAY(O1122))))</f>
        <v>-2.4257846530723729E-3</v>
      </c>
      <c r="P1131" s="10">
        <f ca="1"/>
        <v>-0.27755275741717311</v>
      </c>
      <c r="Q1131" s="10">
        <f ca="1"/>
        <v>1.3864663169073594</v>
      </c>
      <c r="R1131" s="11">
        <f ca="1"/>
        <v>-0.27725165295201359</v>
      </c>
    </row>
    <row r="1132" spans="4:18" ht="24" customHeight="1" x14ac:dyDescent="0.3">
      <c r="E1132" s="18">
        <f ca="1"/>
        <v>0.45992632075496243</v>
      </c>
      <c r="F1132" s="18">
        <f ca="1"/>
        <v>-0.46433215837579223</v>
      </c>
      <c r="G1132" s="18">
        <f ca="1"/>
        <v>0.38648233051702086</v>
      </c>
      <c r="H1132" s="18">
        <f ca="1"/>
        <v>0.2162360056436583</v>
      </c>
      <c r="I1132" s="18">
        <f ca="1"/>
        <v>-0.85356834724167285</v>
      </c>
      <c r="J1132" s="18">
        <f ca="1"/>
        <v>-0.49622807080432452</v>
      </c>
      <c r="K1132" s="18">
        <f ca="1"/>
        <v>0.16970853027648802</v>
      </c>
      <c r="L1132" s="18">
        <f ca="1"/>
        <v>-0.88100715075103597</v>
      </c>
      <c r="O1132" s="12">
        <f ca="1"/>
        <v>-1.4078271787319579E-2</v>
      </c>
      <c r="P1132" s="13">
        <f ca="1"/>
        <v>-0.18025577232694454</v>
      </c>
      <c r="Q1132" s="13">
        <f ca="1"/>
        <v>4.9871509360434385E-2</v>
      </c>
      <c r="R1132" s="14">
        <f ca="1"/>
        <v>0.22899852536349249</v>
      </c>
    </row>
    <row r="1133" spans="4:18" ht="24" customHeight="1" x14ac:dyDescent="0.3">
      <c r="E1133" s="18">
        <f ca="1"/>
        <v>-2.5864751116652762E-2</v>
      </c>
      <c r="F1133" s="18">
        <f ca="1"/>
        <v>-0.26893541388741538</v>
      </c>
      <c r="G1133" s="18">
        <f ca="1"/>
        <v>0.90754992725406902</v>
      </c>
      <c r="H1133" s="18">
        <f ca="1"/>
        <v>0.94527996509337076</v>
      </c>
      <c r="I1133" s="18">
        <f ca="1"/>
        <v>0.74087828296494562</v>
      </c>
      <c r="J1133" s="18">
        <f ca="1"/>
        <v>0.61203886967114762</v>
      </c>
      <c r="K1133" s="18">
        <f ca="1"/>
        <v>0.34756108762331861</v>
      </c>
      <c r="L1133" s="18">
        <f ca="1"/>
        <v>-0.37861345081739772</v>
      </c>
      <c r="O1133" s="12">
        <f ca="1"/>
        <v>0.66849750943060204</v>
      </c>
      <c r="P1133" s="13">
        <f ca="1"/>
        <v>1.0485318395380538</v>
      </c>
      <c r="Q1133" s="13">
        <f ca="1"/>
        <v>-0.1897238639249918</v>
      </c>
      <c r="R1133" s="14">
        <f ca="1"/>
        <v>3.1767214569840045</v>
      </c>
    </row>
    <row r="1134" spans="4:18" ht="24" customHeight="1" x14ac:dyDescent="0.3">
      <c r="E1134" s="18">
        <f ca="1"/>
        <v>0.78008572699435241</v>
      </c>
      <c r="F1134" s="18">
        <f ca="1"/>
        <v>0.8483087795139066</v>
      </c>
      <c r="G1134" s="18">
        <f ca="1"/>
        <v>0.11075019186977597</v>
      </c>
      <c r="H1134" s="18">
        <f ca="1"/>
        <v>-0.61821881118281929</v>
      </c>
      <c r="I1134" s="18">
        <f ca="1"/>
        <v>0.60243053152727599</v>
      </c>
      <c r="J1134" s="18">
        <f ca="1"/>
        <v>6.7046432533063971E-2</v>
      </c>
      <c r="K1134" s="18">
        <f ca="1"/>
        <v>0.58328756883530275</v>
      </c>
      <c r="L1134" s="18">
        <f ca="1"/>
        <v>-8.3790943824818775E-2</v>
      </c>
      <c r="O1134" s="12">
        <f ca="1"/>
        <v>-0.1839803324219661</v>
      </c>
      <c r="P1134" s="13">
        <f ca="1"/>
        <v>-1.1569790287863363E-2</v>
      </c>
      <c r="Q1134" s="13">
        <f ca="1"/>
        <v>-0.25438656072550103</v>
      </c>
      <c r="R1134" s="14">
        <f ca="1"/>
        <v>-6.4319008419999574E-2</v>
      </c>
    </row>
    <row r="1135" spans="4:18" ht="24" customHeight="1" x14ac:dyDescent="0.3">
      <c r="E1135" s="18">
        <f ca="1"/>
        <v>-2.776753101555629E-2</v>
      </c>
      <c r="F1135" s="18">
        <f ca="1"/>
        <v>0.7961749844431214</v>
      </c>
      <c r="G1135" s="18">
        <f ca="1"/>
        <v>-0.23197555153106819</v>
      </c>
      <c r="H1135" s="18">
        <f ca="1"/>
        <v>0.24607576376731943</v>
      </c>
      <c r="I1135" s="18">
        <f ca="1"/>
        <v>-0.53694478053818528</v>
      </c>
      <c r="J1135" s="18">
        <f ca="1"/>
        <v>0.34324737765202329</v>
      </c>
      <c r="K1135" s="18">
        <f ca="1"/>
        <v>0.95454392642263475</v>
      </c>
      <c r="L1135" s="18">
        <f ca="1"/>
        <v>0.23439827557989235</v>
      </c>
      <c r="O1135" s="12">
        <f ca="1"/>
        <v>1.5075838390311407</v>
      </c>
      <c r="P1135" s="13">
        <f ca="1"/>
        <v>1.6449500108682229</v>
      </c>
      <c r="Q1135" s="13">
        <f ca="1"/>
        <v>-0.27222941468156475</v>
      </c>
      <c r="R1135" s="14">
        <f ca="1"/>
        <v>0.61376985191745004</v>
      </c>
    </row>
    <row r="1136" spans="4:18" ht="24" customHeight="1" x14ac:dyDescent="0.3">
      <c r="E1136" s="18">
        <f ca="1"/>
        <v>7.5746174970019453E-2</v>
      </c>
      <c r="F1136" s="18">
        <f ca="1"/>
        <v>-0.94272829495839128</v>
      </c>
      <c r="G1136" s="18">
        <f ca="1"/>
        <v>-0.79993023966403776</v>
      </c>
      <c r="H1136" s="18">
        <f ca="1"/>
        <v>-0.68936742013530505</v>
      </c>
      <c r="I1136" s="18">
        <f ca="1"/>
        <v>-0.55144286338372961</v>
      </c>
      <c r="J1136" s="18">
        <f ca="1"/>
        <v>0.38675532266703927</v>
      </c>
      <c r="K1136" s="18">
        <f ca="1"/>
        <v>-0.71554865780664567</v>
      </c>
      <c r="L1136" s="18">
        <f ca="1"/>
        <v>0.73558202898714509</v>
      </c>
      <c r="O1136" s="15">
        <f ca="1"/>
        <v>1.1431425489638516E-2</v>
      </c>
      <c r="P1136" s="16">
        <f ca="1"/>
        <v>0.23907516237920737</v>
      </c>
      <c r="Q1136" s="16">
        <f ca="1"/>
        <v>-0.22850715542922276</v>
      </c>
      <c r="R1136" s="17">
        <f ca="1"/>
        <v>-0.26623121421446211</v>
      </c>
    </row>
    <row r="1138" spans="4:25" ht="24" customHeight="1" x14ac:dyDescent="0.3">
      <c r="D1138" s="7" t="s">
        <v>139</v>
      </c>
      <c r="E1138" s="18" cm="1">
        <f t="array" aca="1" ref="E1138:L1143" ca="1">(_xlfn.RANDARRAY(F1019,F1014)-0.5)*2</f>
        <v>0.94371651078516727</v>
      </c>
      <c r="F1138" s="18">
        <f ca="1"/>
        <v>0.80288000052117336</v>
      </c>
      <c r="G1138" s="18">
        <f ca="1"/>
        <v>-0.44814468089871706</v>
      </c>
      <c r="H1138" s="18">
        <f ca="1"/>
        <v>0.28474839779706107</v>
      </c>
      <c r="I1138" s="18">
        <f ca="1"/>
        <v>-0.52398346295288301</v>
      </c>
      <c r="J1138" s="18">
        <f ca="1"/>
        <v>6.881662954470702E-2</v>
      </c>
      <c r="K1138" s="18">
        <f ca="1"/>
        <v>-0.67679509521323888</v>
      </c>
      <c r="L1138" s="18">
        <f ca="1"/>
        <v>-0.27199346281108827</v>
      </c>
      <c r="N1138" s="7" t="s">
        <v>296</v>
      </c>
      <c r="O1138" s="9" cm="1">
        <f t="array" aca="1" ref="O1138:R1143" ca="1">MMULT(_xlfn.ANCHORARRAY(E1138),_xlfn.ANCHORARRAY(O1122))</f>
        <v>2.9107084260560114</v>
      </c>
      <c r="P1138" s="10">
        <f ca="1"/>
        <v>2.2658428905770358</v>
      </c>
      <c r="Q1138" s="10">
        <f ca="1"/>
        <v>-3.4018554931046618</v>
      </c>
      <c r="R1138" s="11">
        <f ca="1"/>
        <v>1.4725010275483112</v>
      </c>
    </row>
    <row r="1139" spans="4:25" ht="24" customHeight="1" x14ac:dyDescent="0.3">
      <c r="E1139" s="18">
        <f ca="1"/>
        <v>-0.92660224798374813</v>
      </c>
      <c r="F1139" s="18">
        <f ca="1"/>
        <v>-0.17402575853362157</v>
      </c>
      <c r="G1139" s="18">
        <f ca="1"/>
        <v>0.94038390018669915</v>
      </c>
      <c r="H1139" s="18">
        <f ca="1"/>
        <v>0.42613843755916392</v>
      </c>
      <c r="I1139" s="18">
        <f ca="1"/>
        <v>-0.10130923903249345</v>
      </c>
      <c r="J1139" s="18">
        <f ca="1"/>
        <v>-0.86537927089167033</v>
      </c>
      <c r="K1139" s="18">
        <f ca="1"/>
        <v>-0.56765579902006635</v>
      </c>
      <c r="L1139" s="18">
        <f ca="1"/>
        <v>-0.29538239023026147</v>
      </c>
      <c r="O1139" s="12">
        <f ca="1"/>
        <v>-1.8636207584394495</v>
      </c>
      <c r="P1139" s="13">
        <f ca="1"/>
        <v>-2.3779891948749938</v>
      </c>
      <c r="Q1139" s="13">
        <f ca="1"/>
        <v>2.6510386098944005</v>
      </c>
      <c r="R1139" s="14">
        <f ca="1"/>
        <v>-1.2826173343410499</v>
      </c>
    </row>
    <row r="1140" spans="4:25" ht="24" customHeight="1" x14ac:dyDescent="0.3">
      <c r="E1140" s="18">
        <f ca="1"/>
        <v>0.28618106573802127</v>
      </c>
      <c r="F1140" s="18">
        <f ca="1"/>
        <v>-0.52980379291496238</v>
      </c>
      <c r="G1140" s="18">
        <f ca="1"/>
        <v>0.47665250142375459</v>
      </c>
      <c r="H1140" s="18">
        <f ca="1"/>
        <v>0.16092866216564783</v>
      </c>
      <c r="I1140" s="18">
        <f ca="1"/>
        <v>-0.13402239171531294</v>
      </c>
      <c r="J1140" s="18">
        <f ca="1"/>
        <v>-0.66494708460419938</v>
      </c>
      <c r="K1140" s="18">
        <f ca="1"/>
        <v>-0.22696930455997277</v>
      </c>
      <c r="L1140" s="18">
        <f ca="1"/>
        <v>-0.96328150236266641</v>
      </c>
      <c r="O1140" s="12">
        <f ca="1"/>
        <v>-1.0683856385580008</v>
      </c>
      <c r="P1140" s="13">
        <f ca="1"/>
        <v>-1.6278006001635785</v>
      </c>
      <c r="Q1140" s="13">
        <f ca="1"/>
        <v>0.95644614003781347</v>
      </c>
      <c r="R1140" s="14">
        <f ca="1"/>
        <v>-0.18449459808500679</v>
      </c>
    </row>
    <row r="1141" spans="4:25" ht="24" customHeight="1" x14ac:dyDescent="0.3">
      <c r="E1141" s="18">
        <f ca="1"/>
        <v>-0.20210686426221747</v>
      </c>
      <c r="F1141" s="18">
        <f ca="1"/>
        <v>8.2262357562284283E-2</v>
      </c>
      <c r="G1141" s="18">
        <f ca="1"/>
        <v>0.42767588537950507</v>
      </c>
      <c r="H1141" s="18">
        <f ca="1"/>
        <v>0.8347126292262419</v>
      </c>
      <c r="I1141" s="18">
        <f ca="1"/>
        <v>0.11618901821980732</v>
      </c>
      <c r="J1141" s="18">
        <f ca="1"/>
        <v>-0.98577369423317052</v>
      </c>
      <c r="K1141" s="18">
        <f ca="1"/>
        <v>0.62674688382264776</v>
      </c>
      <c r="L1141" s="18">
        <f ca="1"/>
        <v>0.53501117624852856</v>
      </c>
      <c r="O1141" s="12">
        <f ca="1"/>
        <v>0.2724712091784377</v>
      </c>
      <c r="P1141" s="13">
        <f ca="1"/>
        <v>-2.0441979198038807E-2</v>
      </c>
      <c r="Q1141" s="13">
        <f ca="1"/>
        <v>1.1905019839076105</v>
      </c>
      <c r="R1141" s="14">
        <f ca="1"/>
        <v>0.77555347742951475</v>
      </c>
    </row>
    <row r="1142" spans="4:25" ht="24" customHeight="1" x14ac:dyDescent="0.3">
      <c r="E1142" s="18">
        <f ca="1"/>
        <v>0.73818105330717243</v>
      </c>
      <c r="F1142" s="18">
        <f ca="1"/>
        <v>0.54989829101696408</v>
      </c>
      <c r="G1142" s="18">
        <f ca="1"/>
        <v>-0.36512200169264908</v>
      </c>
      <c r="H1142" s="18">
        <f ca="1"/>
        <v>0.5632751477308422</v>
      </c>
      <c r="I1142" s="18">
        <f ca="1"/>
        <v>-0.36328006758207954</v>
      </c>
      <c r="J1142" s="18">
        <f ca="1"/>
        <v>-0.51416734429831301</v>
      </c>
      <c r="K1142" s="18">
        <f ca="1"/>
        <v>0.31137259578255838</v>
      </c>
      <c r="L1142" s="18">
        <f ca="1"/>
        <v>0.57534058078760664</v>
      </c>
      <c r="O1142" s="12">
        <f ca="1"/>
        <v>2.5672919263268077</v>
      </c>
      <c r="P1142" s="13">
        <f ca="1"/>
        <v>2.184988459381596</v>
      </c>
      <c r="Q1142" s="13">
        <f ca="1"/>
        <v>-1.9917026034044318</v>
      </c>
      <c r="R1142" s="14">
        <f ca="1"/>
        <v>1.6268356815942588</v>
      </c>
    </row>
    <row r="1143" spans="4:25" ht="24" customHeight="1" x14ac:dyDescent="0.3">
      <c r="E1143" s="18">
        <f ca="1"/>
        <v>-0.94222344744735143</v>
      </c>
      <c r="F1143" s="18">
        <f ca="1"/>
        <v>-0.37698207344531642</v>
      </c>
      <c r="G1143" s="18">
        <f ca="1"/>
        <v>0.85823672317594291</v>
      </c>
      <c r="H1143" s="18">
        <f ca="1"/>
        <v>0.933344751878459</v>
      </c>
      <c r="I1143" s="18">
        <f ca="1"/>
        <v>-0.28502804099283541</v>
      </c>
      <c r="J1143" s="18">
        <f ca="1"/>
        <v>0.13684491535791521</v>
      </c>
      <c r="K1143" s="18">
        <f ca="1"/>
        <v>-0.86122393876959658</v>
      </c>
      <c r="L1143" s="18">
        <f ca="1"/>
        <v>0.52366449080290423</v>
      </c>
      <c r="O1143" s="15">
        <f ca="1"/>
        <v>0.75708318510561878</v>
      </c>
      <c r="P1143" s="16">
        <f ca="1"/>
        <v>0.84997060380292844</v>
      </c>
      <c r="Q1143" s="16">
        <f ca="1"/>
        <v>0.23632952321088818</v>
      </c>
      <c r="R1143" s="17">
        <f ca="1"/>
        <v>1.3779700137304767</v>
      </c>
    </row>
    <row r="1144" spans="4:25" ht="24" customHeight="1" x14ac:dyDescent="0.3">
      <c r="V1144" s="1" t="s">
        <v>298</v>
      </c>
    </row>
    <row r="1145" spans="4:25" ht="24" customHeight="1" x14ac:dyDescent="0.3">
      <c r="D1145" s="7" t="s">
        <v>142</v>
      </c>
      <c r="E1145" s="18" cm="1">
        <f t="array" aca="1" ref="E1145:J1152" ca="1">(_xlfn.RANDARRAY(F1014,F1019)-0.5)*2</f>
        <v>-0.38842781366821733</v>
      </c>
      <c r="F1145" s="18">
        <f ca="1"/>
        <v>0.78611899968848897</v>
      </c>
      <c r="G1145" s="18">
        <f ca="1"/>
        <v>0.51977170821301444</v>
      </c>
      <c r="H1145" s="18">
        <f ca="1"/>
        <v>0.79070503532497582</v>
      </c>
      <c r="I1145" s="18">
        <f ca="1"/>
        <v>-0.48776818949927092</v>
      </c>
      <c r="J1145" s="18">
        <f ca="1"/>
        <v>0.1928662748118688</v>
      </c>
      <c r="N1145" s="7" t="s">
        <v>297</v>
      </c>
      <c r="O1145" s="9" cm="1">
        <f t="array" aca="1" ref="O1145:R1152" ca="1">MMULT(_xlfn.ANCHORARRAY(E1145),_xlfn.ANCHORARRAY(O1131)*_xlfn.ANCHORARRAY(O1138))</f>
        <v>-2.2736903023281516</v>
      </c>
      <c r="P1145" s="10">
        <f ca="1"/>
        <v>-2.0196571293672836</v>
      </c>
      <c r="Q1145" s="10">
        <f ca="1"/>
        <v>1.3273115410852092</v>
      </c>
      <c r="R1145" s="11">
        <f ca="1"/>
        <v>-0.97418698511032198</v>
      </c>
      <c r="V1145" s="9" cm="1">
        <f t="array" aca="1" ref="V1145:Y1152" ca="1">_xlfn.ANCHORARRAY(AL1110)+_xlfn.ANCHORARRAY(O1145)</f>
        <v>1.8590192896405306</v>
      </c>
      <c r="W1145" s="10">
        <f ca="1"/>
        <v>4.2913143259343896</v>
      </c>
      <c r="X1145" s="10">
        <f ca="1"/>
        <v>-6.7609466263971028</v>
      </c>
      <c r="Y1145" s="11">
        <f ca="1"/>
        <v>3.2280191959897522</v>
      </c>
    </row>
    <row r="1146" spans="4:25" ht="24" customHeight="1" x14ac:dyDescent="0.3">
      <c r="E1146" s="18">
        <f ca="1"/>
        <v>-0.56357419254922947</v>
      </c>
      <c r="F1146" s="18">
        <f ca="1"/>
        <v>0.20018278719532789</v>
      </c>
      <c r="G1146" s="18">
        <f ca="1"/>
        <v>-0.63501248728898263</v>
      </c>
      <c r="H1146" s="18">
        <f ca="1"/>
        <v>0.7130623541245833</v>
      </c>
      <c r="I1146" s="18">
        <f ca="1"/>
        <v>0.89707333644235954</v>
      </c>
      <c r="J1146" s="18">
        <f ca="1"/>
        <v>7.7176797016494714E-2</v>
      </c>
      <c r="O1146" s="12">
        <f ca="1"/>
        <v>3.899727863414598</v>
      </c>
      <c r="P1146" s="13">
        <f ca="1"/>
        <v>4.7641837130023426</v>
      </c>
      <c r="Q1146" s="13">
        <f ca="1"/>
        <v>3.0661027256441518</v>
      </c>
      <c r="R1146" s="14">
        <f ca="1"/>
        <v>1.3753046328320966</v>
      </c>
      <c r="V1146" s="12">
        <f ca="1"/>
        <v>6.8049150845922695</v>
      </c>
      <c r="W1146" s="13">
        <f ca="1"/>
        <v>7.6735880561256291</v>
      </c>
      <c r="X1146" s="13">
        <f ca="1"/>
        <v>-0.82863978323857745</v>
      </c>
      <c r="Y1146" s="14">
        <f ca="1"/>
        <v>0.58631837475637316</v>
      </c>
    </row>
    <row r="1147" spans="4:25" ht="24" customHeight="1" x14ac:dyDescent="0.3">
      <c r="E1147" s="18">
        <f ca="1"/>
        <v>0.67613847537085192</v>
      </c>
      <c r="F1147" s="18">
        <f ca="1"/>
        <v>6.5926721620593653E-2</v>
      </c>
      <c r="G1147" s="18">
        <f ca="1"/>
        <v>-0.33407056314904304</v>
      </c>
      <c r="H1147" s="18">
        <f ca="1"/>
        <v>-0.93571048929915834</v>
      </c>
      <c r="I1147" s="18">
        <f ca="1"/>
        <v>-0.4279476181881261</v>
      </c>
      <c r="J1147" s="18">
        <f ca="1"/>
        <v>-1.5345731903595894E-2</v>
      </c>
      <c r="O1147" s="12">
        <f ca="1"/>
        <v>-1.3740048350394793</v>
      </c>
      <c r="P1147" s="13">
        <f ca="1"/>
        <v>-1.3682338465113841</v>
      </c>
      <c r="Q1147" s="13">
        <f ca="1"/>
        <v>-3.0675361750654919</v>
      </c>
      <c r="R1147" s="14">
        <f ca="1"/>
        <v>-0.47460614110696953</v>
      </c>
      <c r="V1147" s="12">
        <f ca="1"/>
        <v>-5.1427014254812597</v>
      </c>
      <c r="W1147" s="13">
        <f ca="1"/>
        <v>-3.0058413308144845</v>
      </c>
      <c r="X1147" s="13">
        <f ca="1"/>
        <v>-1.8843023032658943</v>
      </c>
      <c r="Y1147" s="14">
        <f ca="1"/>
        <v>1.3122007057432168</v>
      </c>
    </row>
    <row r="1148" spans="4:25" ht="24" customHeight="1" x14ac:dyDescent="0.3">
      <c r="E1148" s="18">
        <f ca="1"/>
        <v>-0.40152078146180559</v>
      </c>
      <c r="F1148" s="18">
        <f ca="1"/>
        <v>0.67135011917178478</v>
      </c>
      <c r="G1148" s="18">
        <f ca="1"/>
        <v>-0.97173538758112787</v>
      </c>
      <c r="H1148" s="18">
        <f ca="1"/>
        <v>0.3687595410961233</v>
      </c>
      <c r="I1148" s="18">
        <f ca="1"/>
        <v>-0.48989036429352417</v>
      </c>
      <c r="J1148" s="18">
        <f ca="1"/>
        <v>-0.79254575032410113</v>
      </c>
      <c r="O1148" s="12">
        <f ca="1"/>
        <v>-1.2069451517815222</v>
      </c>
      <c r="P1148" s="13">
        <f ca="1"/>
        <v>0.27711731565029318</v>
      </c>
      <c r="Q1148" s="13">
        <f ca="1"/>
        <v>1.824391173572312</v>
      </c>
      <c r="R1148" s="14">
        <f ca="1"/>
        <v>0.31945796659210146</v>
      </c>
      <c r="V1148" s="12">
        <f ca="1"/>
        <v>6.0847905070680568</v>
      </c>
      <c r="W1148" s="13">
        <f ca="1"/>
        <v>8.223253746512043</v>
      </c>
      <c r="X1148" s="13">
        <f ca="1"/>
        <v>-1.9807793128664897</v>
      </c>
      <c r="Y1148" s="14">
        <f ca="1"/>
        <v>6.4396388617508489</v>
      </c>
    </row>
    <row r="1149" spans="4:25" ht="24" customHeight="1" x14ac:dyDescent="0.3">
      <c r="E1149" s="18">
        <f ca="1"/>
        <v>0.66243473586555846</v>
      </c>
      <c r="F1149" s="18">
        <f ca="1"/>
        <v>-0.58349006260211134</v>
      </c>
      <c r="G1149" s="18">
        <f ca="1"/>
        <v>0.36515034905657506</v>
      </c>
      <c r="H1149" s="18">
        <f ca="1"/>
        <v>-0.51229726061559644</v>
      </c>
      <c r="I1149" s="18">
        <f ca="1"/>
        <v>-0.7350645910556004</v>
      </c>
      <c r="J1149" s="18">
        <f ca="1"/>
        <v>0.3972103797017037</v>
      </c>
      <c r="O1149" s="12">
        <f ca="1"/>
        <v>-3.0966621774213294</v>
      </c>
      <c r="P1149" s="13">
        <f ca="1"/>
        <v>-3.8513210243851885</v>
      </c>
      <c r="Q1149" s="13">
        <f ca="1"/>
        <v>-3.5326708338344806</v>
      </c>
      <c r="R1149" s="14">
        <f ca="1"/>
        <v>-1.1671993788738262</v>
      </c>
      <c r="V1149" s="12">
        <f ca="1"/>
        <v>-6.2429950466030331</v>
      </c>
      <c r="W1149" s="13">
        <f ca="1"/>
        <v>-7.7886461314467699</v>
      </c>
      <c r="X1149" s="13">
        <f ca="1"/>
        <v>-0.66614983286451501</v>
      </c>
      <c r="Y1149" s="14">
        <f ca="1"/>
        <v>-0.82752113958824136</v>
      </c>
    </row>
    <row r="1150" spans="4:25" ht="24" customHeight="1" x14ac:dyDescent="0.3">
      <c r="E1150" s="18">
        <f ca="1"/>
        <v>6.2097019774575823E-2</v>
      </c>
      <c r="F1150" s="18">
        <f ca="1"/>
        <v>-0.68701310324774267</v>
      </c>
      <c r="G1150" s="18">
        <f ca="1"/>
        <v>-0.74868695994258561</v>
      </c>
      <c r="H1150" s="18">
        <f ca="1"/>
        <v>0.41020255043893838</v>
      </c>
      <c r="I1150" s="18">
        <f ca="1"/>
        <v>-0.30406518898805412</v>
      </c>
      <c r="J1150" s="18">
        <f ca="1"/>
        <v>0.73687196338368732</v>
      </c>
      <c r="O1150" s="12">
        <f ca="1"/>
        <v>-0.67478342985260786</v>
      </c>
      <c r="P1150" s="13">
        <f ca="1"/>
        <v>1.285935505896757E-3</v>
      </c>
      <c r="Q1150" s="13">
        <f ca="1"/>
        <v>-0.57674420832870832</v>
      </c>
      <c r="R1150" s="14">
        <f ca="1"/>
        <v>2.0833030526108909E-2</v>
      </c>
      <c r="V1150" s="12">
        <f ca="1"/>
        <v>3.5157463648486975</v>
      </c>
      <c r="W1150" s="13">
        <f ca="1"/>
        <v>8.738875035485469</v>
      </c>
      <c r="X1150" s="13">
        <f ca="1"/>
        <v>-7.0757080800040839</v>
      </c>
      <c r="Y1150" s="14">
        <f ca="1"/>
        <v>4.1759718556050078</v>
      </c>
    </row>
    <row r="1151" spans="4:25" ht="24" customHeight="1" x14ac:dyDescent="0.3">
      <c r="E1151" s="18">
        <f ca="1"/>
        <v>-0.53033720324600964</v>
      </c>
      <c r="F1151" s="18">
        <f ca="1"/>
        <v>-0.13500549976746079</v>
      </c>
      <c r="G1151" s="18">
        <f ca="1"/>
        <v>0.70657521204149187</v>
      </c>
      <c r="H1151" s="18">
        <f ca="1"/>
        <v>-0.58198958885808372</v>
      </c>
      <c r="I1151" s="18">
        <f ca="1"/>
        <v>-0.35925817493065582</v>
      </c>
      <c r="J1151" s="18">
        <f ca="1"/>
        <v>0.11075170425581105</v>
      </c>
      <c r="O1151" s="12">
        <f ca="1"/>
        <v>-1.8647851880794286</v>
      </c>
      <c r="P1151" s="13">
        <f ca="1"/>
        <v>-2.1992051680367872</v>
      </c>
      <c r="Q1151" s="13">
        <f ca="1"/>
        <v>2.3307848477796194</v>
      </c>
      <c r="R1151" s="14">
        <f ca="1"/>
        <v>-0.52826899130266902</v>
      </c>
      <c r="V1151" s="12">
        <f ca="1"/>
        <v>-2.9594394403625088</v>
      </c>
      <c r="W1151" s="13">
        <f ca="1"/>
        <v>-2.0002339244256917</v>
      </c>
      <c r="X1151" s="13">
        <f ca="1"/>
        <v>6.1578826420368005</v>
      </c>
      <c r="Y1151" s="14">
        <f ca="1"/>
        <v>0.12227842801916133</v>
      </c>
    </row>
    <row r="1152" spans="4:25" ht="24" customHeight="1" x14ac:dyDescent="0.3">
      <c r="E1152" s="18">
        <f ca="1"/>
        <v>2.4151983985821524E-2</v>
      </c>
      <c r="F1152" s="18">
        <f ca="1"/>
        <v>-0.45105870074466381</v>
      </c>
      <c r="G1152" s="18">
        <f ca="1"/>
        <v>0.86961727687424695</v>
      </c>
      <c r="H1152" s="18">
        <f ca="1"/>
        <v>0.16945006613308955</v>
      </c>
      <c r="I1152" s="18">
        <f ca="1"/>
        <v>0.11974413274756079</v>
      </c>
      <c r="J1152" s="18">
        <f ca="1"/>
        <v>-0.9784609675146192</v>
      </c>
      <c r="O1152" s="15">
        <f ca="1"/>
        <v>-0.18660076685110247</v>
      </c>
      <c r="P1152" s="16">
        <f ca="1"/>
        <v>-1.4612029515578884</v>
      </c>
      <c r="Q1152" s="16">
        <f ca="1"/>
        <v>-0.26490308894145931</v>
      </c>
      <c r="R1152" s="17">
        <f ca="1"/>
        <v>8.3020530452823982E-2</v>
      </c>
      <c r="V1152" s="15">
        <f ca="1"/>
        <v>1.9718017460232033</v>
      </c>
      <c r="W1152" s="16">
        <f ca="1"/>
        <v>4.1523711032924204</v>
      </c>
      <c r="X1152" s="16">
        <f ca="1"/>
        <v>-2.7129012502488976</v>
      </c>
      <c r="Y1152" s="17">
        <f ca="1"/>
        <v>1.3852082566136257</v>
      </c>
    </row>
    <row r="1155" spans="4:18" ht="24" customHeight="1" x14ac:dyDescent="0.3">
      <c r="D1155" s="3" t="s">
        <v>299</v>
      </c>
    </row>
    <row r="1156" spans="4:18" ht="24" customHeight="1" x14ac:dyDescent="0.3">
      <c r="D1156" s="7" t="s">
        <v>300</v>
      </c>
      <c r="E1156" s="18" cm="1">
        <f t="array" aca="1" ref="E1156:E1163" ca="1">_xlfn.RANDARRAY(F1014,1)*0.5+0.75</f>
        <v>0.82600352196678561</v>
      </c>
      <c r="N1156" s="7" t="s">
        <v>301</v>
      </c>
      <c r="O1156" s="19" cm="1">
        <f t="array" aca="1" ref="O1156:R1156" ca="1">SQRT(MMULT(TRANSPOSE(_xlfn.SEQUENCE(F1014,1,1,0)),_xlfn.ANCHORARRAY(V1145)*_xlfn.ANCHORARRAY(V1145))/F1014+F1020)</f>
        <v>4.7065994501732575</v>
      </c>
      <c r="P1156" s="20">
        <f ca="1"/>
        <v>6.2473033338718809</v>
      </c>
      <c r="Q1156" s="20">
        <f ca="1"/>
        <v>4.3252151000223353</v>
      </c>
      <c r="R1156" s="21">
        <f ca="1"/>
        <v>3.0416276611298101</v>
      </c>
    </row>
    <row r="1157" spans="4:18" ht="24" customHeight="1" x14ac:dyDescent="0.3">
      <c r="E1157" s="18">
        <f ca="1"/>
        <v>1.1436809648175674</v>
      </c>
    </row>
    <row r="1158" spans="4:18" ht="24" customHeight="1" x14ac:dyDescent="0.3">
      <c r="E1158" s="18">
        <f ca="1"/>
        <v>0.80970170771157102</v>
      </c>
      <c r="N1158" s="7" t="s">
        <v>302</v>
      </c>
      <c r="O1158" s="9" cm="1">
        <f t="array" aca="1" ref="O1158:R1165" ca="1">_xlfn.ANCHORARRAY(V1145)/_xlfn.ANCHORARRAY(O1156)*_xlfn.ANCHORARRAY(E1156)</f>
        <v>0.3262560362111851</v>
      </c>
      <c r="P1158" s="10">
        <f ca="1"/>
        <v>0.56738732820445137</v>
      </c>
      <c r="Q1158" s="10">
        <f ca="1"/>
        <v>-1.2911648544842604</v>
      </c>
      <c r="R1158" s="11">
        <f ca="1"/>
        <v>0.87662117850201016</v>
      </c>
    </row>
    <row r="1159" spans="4:18" ht="24" customHeight="1" x14ac:dyDescent="0.3">
      <c r="E1159" s="18">
        <f ca="1"/>
        <v>1.1260502855298953</v>
      </c>
      <c r="O1159" s="12">
        <f ca="1"/>
        <v>1.6535615430715296</v>
      </c>
      <c r="P1159" s="13">
        <f ca="1"/>
        <v>1.4047879737261211</v>
      </c>
      <c r="Q1159" s="13">
        <f ca="1"/>
        <v>-0.21911038523277659</v>
      </c>
      <c r="R1159" s="14">
        <f ca="1"/>
        <v>0.22046129218937913</v>
      </c>
    </row>
    <row r="1160" spans="4:18" ht="24" customHeight="1" x14ac:dyDescent="0.3">
      <c r="E1160" s="18">
        <f ca="1"/>
        <v>0.82733689488718376</v>
      </c>
      <c r="O1160" s="12">
        <f ca="1"/>
        <v>-0.88472668442385105</v>
      </c>
      <c r="P1160" s="13">
        <f ca="1"/>
        <v>-0.38958166885776868</v>
      </c>
      <c r="Q1160" s="13">
        <f ca="1"/>
        <v>-0.35275073204830032</v>
      </c>
      <c r="R1160" s="14">
        <f ca="1"/>
        <v>0.3493166392055857</v>
      </c>
    </row>
    <row r="1161" spans="4:18" ht="24" customHeight="1" x14ac:dyDescent="0.3">
      <c r="E1161" s="18">
        <f ca="1"/>
        <v>1.2415645042793728</v>
      </c>
      <c r="O1161" s="12">
        <f ca="1"/>
        <v>1.4557814320955986</v>
      </c>
      <c r="P1161" s="13">
        <f ca="1"/>
        <v>1.4822070794993298</v>
      </c>
      <c r="Q1161" s="13">
        <f ca="1"/>
        <v>-0.5156869795477923</v>
      </c>
      <c r="R1161" s="14">
        <f ca="1"/>
        <v>2.3840384119502787</v>
      </c>
    </row>
    <row r="1162" spans="4:18" ht="24" customHeight="1" x14ac:dyDescent="0.3">
      <c r="E1162" s="18">
        <f ca="1"/>
        <v>1.0446313451236744</v>
      </c>
      <c r="O1162" s="12">
        <f ca="1"/>
        <v>-1.0974080525298342</v>
      </c>
      <c r="P1162" s="13">
        <f ca="1"/>
        <v>-1.0314585288069504</v>
      </c>
      <c r="Q1162" s="13">
        <f ca="1"/>
        <v>-0.12742264176616286</v>
      </c>
      <c r="R1162" s="14">
        <f ca="1"/>
        <v>-0.22508960542071441</v>
      </c>
    </row>
    <row r="1163" spans="4:18" ht="24" customHeight="1" x14ac:dyDescent="0.3">
      <c r="E1163" s="18">
        <f ca="1"/>
        <v>1.2410388988514831</v>
      </c>
      <c r="O1163" s="12">
        <f ca="1"/>
        <v>0.92742667797759948</v>
      </c>
      <c r="P1163" s="13">
        <f ca="1"/>
        <v>1.736729669034254</v>
      </c>
      <c r="Q1163" s="13">
        <f ca="1"/>
        <v>-2.0311008335124092</v>
      </c>
      <c r="R1163" s="14">
        <f ca="1"/>
        <v>1.7045933968337785</v>
      </c>
    </row>
    <row r="1164" spans="4:18" ht="24" customHeight="1" x14ac:dyDescent="0.3">
      <c r="O1164" s="12">
        <f ca="1"/>
        <v>-0.65684858805737922</v>
      </c>
      <c r="P1164" s="13">
        <f ca="1"/>
        <v>-0.33446543946503171</v>
      </c>
      <c r="Q1164" s="13">
        <f ca="1"/>
        <v>1.48725949547143</v>
      </c>
      <c r="R1164" s="14">
        <f ca="1"/>
        <v>4.1995895938761123E-2</v>
      </c>
    </row>
    <row r="1165" spans="4:18" ht="24" customHeight="1" x14ac:dyDescent="0.3">
      <c r="O1165" s="15">
        <f ca="1"/>
        <v>0.51992583892984279</v>
      </c>
      <c r="P1165" s="16">
        <f ca="1"/>
        <v>0.82487655653161951</v>
      </c>
      <c r="Q1165" s="16">
        <f ca="1"/>
        <v>-0.77841584810066844</v>
      </c>
      <c r="R1165" s="17">
        <f ca="1"/>
        <v>0.56518993150831598</v>
      </c>
    </row>
    <row r="1166" spans="4:18" ht="24" customHeight="1" x14ac:dyDescent="0.3">
      <c r="O1166" s="1" t="s">
        <v>303</v>
      </c>
    </row>
    <row r="1167" spans="4:18" ht="24" customHeight="1" x14ac:dyDescent="0.3">
      <c r="N1167" s="7" t="str" cm="1">
        <f t="array" ref="N1167:N1172">"v"&amp;_xlfn.SEQUENCE(F1015,1,1,1)</f>
        <v>v1</v>
      </c>
      <c r="O1167" s="9" cm="1">
        <f t="array" aca="1" ref="O1167:R1172" ca="1">MMULT(TRANSPOSE(_xlfn.ANCHORARRAY(E1025)),_xlfn.ANCHORARRAY(O1158))</f>
        <v>-1.8706288567471678</v>
      </c>
      <c r="P1167" s="10">
        <f ca="1"/>
        <v>-1.604737624714516</v>
      </c>
      <c r="Q1167" s="10">
        <f ca="1"/>
        <v>1.2370052313765616</v>
      </c>
      <c r="R1167" s="11">
        <f ca="1"/>
        <v>-1.0818379368851907</v>
      </c>
    </row>
    <row r="1168" spans="4:18" ht="24" customHeight="1" x14ac:dyDescent="0.3">
      <c r="N1168" s="7" t="str">
        <v>v2</v>
      </c>
      <c r="O1168" s="12">
        <f ca="1"/>
        <v>1.0730289023771522</v>
      </c>
      <c r="P1168" s="13">
        <f ca="1"/>
        <v>0.90404657837692448</v>
      </c>
      <c r="Q1168" s="13">
        <f ca="1"/>
        <v>0.75251542477176669</v>
      </c>
      <c r="R1168" s="14">
        <f ca="1"/>
        <v>1.0554305002328108</v>
      </c>
    </row>
    <row r="1169" spans="4:18" ht="24" customHeight="1" x14ac:dyDescent="0.3">
      <c r="N1169" s="7" t="str">
        <v>v3</v>
      </c>
      <c r="O1169" s="12">
        <f ca="1"/>
        <v>-0.43939074452860971</v>
      </c>
      <c r="P1169" s="13">
        <f ca="1"/>
        <v>0.19869312017273211</v>
      </c>
      <c r="Q1169" s="13">
        <f ca="1"/>
        <v>-0.50113605047694953</v>
      </c>
      <c r="R1169" s="14">
        <f ca="1"/>
        <v>0.9548925220869231</v>
      </c>
    </row>
    <row r="1170" spans="4:18" ht="24" customHeight="1" x14ac:dyDescent="0.3">
      <c r="N1170" s="7" t="str">
        <v>v4</v>
      </c>
      <c r="O1170" s="12">
        <f ca="1"/>
        <v>0.11666867091291649</v>
      </c>
      <c r="P1170" s="13">
        <f ca="1"/>
        <v>-0.84871376390910913</v>
      </c>
      <c r="Q1170" s="13">
        <f ca="1"/>
        <v>0.88824048157128033</v>
      </c>
      <c r="R1170" s="14">
        <f ca="1"/>
        <v>-1.6653235378130193</v>
      </c>
    </row>
    <row r="1171" spans="4:18" ht="24" customHeight="1" x14ac:dyDescent="0.3">
      <c r="N1171" s="7" t="str">
        <v>v5</v>
      </c>
      <c r="O1171" s="12">
        <f ca="1"/>
        <v>0.31654071726663174</v>
      </c>
      <c r="P1171" s="13">
        <f ca="1"/>
        <v>0.27380766791404593</v>
      </c>
      <c r="Q1171" s="13">
        <f ca="1"/>
        <v>0.19496386881772321</v>
      </c>
      <c r="R1171" s="14">
        <f ca="1"/>
        <v>-0.53054549264428508</v>
      </c>
    </row>
    <row r="1172" spans="4:18" ht="24" customHeight="1" x14ac:dyDescent="0.3">
      <c r="N1172" s="7" t="str">
        <v>v6</v>
      </c>
      <c r="O1172" s="15">
        <f ca="1"/>
        <v>-0.20466247100041207</v>
      </c>
      <c r="P1172" s="16">
        <f ca="1"/>
        <v>-0.74839547387624294</v>
      </c>
      <c r="Q1172" s="16">
        <f ca="1"/>
        <v>0.61588099323839374</v>
      </c>
      <c r="R1172" s="17">
        <f ca="1"/>
        <v>-1.7344738379680951</v>
      </c>
    </row>
    <row r="1174" spans="4:18" ht="24" customHeight="1" x14ac:dyDescent="0.3">
      <c r="D1174" s="7" t="s">
        <v>304</v>
      </c>
      <c r="O1174" s="9" cm="1">
        <f t="array" aca="1" ref="O1174:O1179" ca="1">_xlfn.LET(_xlpm.z,O1167:O1172,EXP(_xlpm.z)/SUM(EXP(_xlpm.z)))</f>
        <v>2.1898335491775476E-2</v>
      </c>
      <c r="P1174" s="10" cm="1">
        <f t="array" aca="1" ref="P1174:P1179" ca="1">_xlfn.LET(_xlpm.z,P1167:P1172,EXP(_xlpm.z)/SUM(EXP(_xlpm.z)))</f>
        <v>3.2906948636379156E-2</v>
      </c>
      <c r="Q1174" s="10" cm="1">
        <f t="array" aca="1" ref="Q1174:Q1179" ca="1">_xlfn.LET(_xlpm.z,Q1167:Q1172,EXP(_xlpm.z)/SUM(EXP(_xlpm.z)))</f>
        <v>0.29520370751595343</v>
      </c>
      <c r="R1174" s="11" cm="1">
        <f t="array" aca="1" ref="R1174:R1179" ca="1">_xlfn.LET(_xlpm.z,R1167:R1172,EXP(_xlpm.z)/SUM(EXP(_xlpm.z)))</f>
        <v>5.011055800533417E-2</v>
      </c>
    </row>
    <row r="1175" spans="4:18" ht="24" customHeight="1" x14ac:dyDescent="0.3">
      <c r="O1175" s="12">
        <f ca="1"/>
        <v>0.41574346032200182</v>
      </c>
      <c r="P1175" s="13">
        <f ca="1"/>
        <v>0.4044257029315379</v>
      </c>
      <c r="Q1175" s="13">
        <f ca="1"/>
        <v>0.18184884961063558</v>
      </c>
      <c r="R1175" s="14">
        <f ca="1"/>
        <v>0.42474974561047885</v>
      </c>
    </row>
    <row r="1176" spans="4:18" ht="24" customHeight="1" x14ac:dyDescent="0.3">
      <c r="O1176" s="12">
        <f ca="1"/>
        <v>9.1619922375183599E-2</v>
      </c>
      <c r="P1176" s="13">
        <f ca="1"/>
        <v>0.19975958832295837</v>
      </c>
      <c r="Q1176" s="13">
        <f ca="1"/>
        <v>5.1910670696622314E-2</v>
      </c>
      <c r="R1176" s="14">
        <f ca="1"/>
        <v>0.38412275788406958</v>
      </c>
    </row>
    <row r="1177" spans="4:18" ht="24" customHeight="1" x14ac:dyDescent="0.3">
      <c r="O1177" s="12">
        <f ca="1"/>
        <v>0.15976566639542705</v>
      </c>
      <c r="P1177" s="13">
        <f ca="1"/>
        <v>7.0084923601384921E-2</v>
      </c>
      <c r="Q1177" s="13">
        <f ca="1"/>
        <v>0.20828366032058823</v>
      </c>
      <c r="R1177" s="14">
        <f ca="1"/>
        <v>2.7959194937628579E-2</v>
      </c>
    </row>
    <row r="1178" spans="4:18" ht="24" customHeight="1" x14ac:dyDescent="0.3">
      <c r="O1178" s="12">
        <f ca="1"/>
        <v>0.19511325854452438</v>
      </c>
      <c r="P1178" s="13">
        <f ca="1"/>
        <v>0.21534235980876126</v>
      </c>
      <c r="Q1178" s="13">
        <f ca="1"/>
        <v>0.10412835172706013</v>
      </c>
      <c r="R1178" s="14">
        <f ca="1"/>
        <v>8.6966602770915682E-2</v>
      </c>
    </row>
    <row r="1179" spans="4:18" ht="24" customHeight="1" x14ac:dyDescent="0.3">
      <c r="O1179" s="15">
        <f ca="1"/>
        <v>0.11585935687108753</v>
      </c>
      <c r="P1179" s="16">
        <f ca="1"/>
        <v>7.7480476698978396E-2</v>
      </c>
      <c r="Q1179" s="16">
        <f ca="1"/>
        <v>0.15862476012914029</v>
      </c>
      <c r="R1179" s="17">
        <f ca="1"/>
        <v>2.6091140791573098E-2</v>
      </c>
    </row>
    <row r="1181" spans="4:18" ht="24" customHeight="1" x14ac:dyDescent="0.3">
      <c r="N1181" s="7" t="s">
        <v>305</v>
      </c>
      <c r="O1181" s="8" cm="1">
        <f t="array" aca="1" ref="O1181" ca="1">INDEX(O1174:O1179,O1019)</f>
        <v>0.15976566639542705</v>
      </c>
      <c r="P1181" s="8" cm="1">
        <f t="array" aca="1" ref="P1181" ca="1">INDEX(P1174:P1179,P1019)</f>
        <v>3.2906948636379156E-2</v>
      </c>
      <c r="Q1181" s="8" cm="1">
        <f t="array" aca="1" ref="Q1181" ca="1">INDEX(Q1174:Q1179,Q1019)</f>
        <v>0.10412835172706013</v>
      </c>
      <c r="R1181" s="8" cm="1">
        <f t="array" aca="1" ref="R1181" ca="1">INDEX(R1174:R1179,R1019)</f>
        <v>0.42474974561047885</v>
      </c>
    </row>
    <row r="1182" spans="4:18" ht="24" customHeight="1" x14ac:dyDescent="0.3">
      <c r="N1182" s="7" t="s">
        <v>306</v>
      </c>
      <c r="O1182" s="19" cm="1">
        <f t="array" aca="1" ref="O1182:R1182" ca="1">-LN(O1181:R1181)</f>
        <v>1.8340471223298784</v>
      </c>
      <c r="P1182" s="20">
        <f ca="1"/>
        <v>3.4140714387582292</v>
      </c>
      <c r="Q1182" s="20">
        <f ca="1"/>
        <v>2.2621309895576402</v>
      </c>
      <c r="R1182" s="21">
        <f ca="1"/>
        <v>0.85625511734615767</v>
      </c>
    </row>
    <row r="1184" spans="4:18" ht="24" customHeight="1" x14ac:dyDescent="0.3">
      <c r="N1184" s="7" t="s">
        <v>307</v>
      </c>
      <c r="O1184" s="23">
        <f ca="1">AVERAGE(_xlfn.ANCHORARRAY(O1182))</f>
        <v>2.0916261669979761</v>
      </c>
    </row>
    <row r="1186" spans="4:22" ht="24" customHeight="1" x14ac:dyDescent="0.3">
      <c r="N1186" s="7" t="s">
        <v>308</v>
      </c>
      <c r="P1186" s="8">
        <v>2.1</v>
      </c>
    </row>
    <row r="1187" spans="4:22" ht="24" customHeight="1" x14ac:dyDescent="0.3">
      <c r="N1187" s="7" t="s">
        <v>309</v>
      </c>
      <c r="P1187" s="8">
        <f ca="1">P1186+F1021*O1184</f>
        <v>2.7274878500993927</v>
      </c>
    </row>
    <row r="1189" spans="4:22" ht="24" customHeight="1" x14ac:dyDescent="0.3">
      <c r="N1189" s="7" t="s">
        <v>310</v>
      </c>
      <c r="P1189" s="8">
        <f>IF(0.5&lt;F1023,F1021,F1022)</f>
        <v>0.3</v>
      </c>
    </row>
    <row r="1190" spans="4:22" ht="24" customHeight="1" x14ac:dyDescent="0.3">
      <c r="N1190" s="7" t="s">
        <v>311</v>
      </c>
      <c r="P1190" s="8">
        <f>IF(0.8&lt;F1023,F1021,F1022)</f>
        <v>0.1</v>
      </c>
    </row>
    <row r="1193" spans="4:22" ht="24" customHeight="1" x14ac:dyDescent="0.3">
      <c r="D1193" s="3" t="s">
        <v>312</v>
      </c>
    </row>
    <row r="1194" spans="4:22" ht="24" customHeight="1" x14ac:dyDescent="0.3">
      <c r="N1194" s="7" t="s">
        <v>313</v>
      </c>
      <c r="O1194" s="8">
        <f ca="1">MATCH(LARGE(O1167:O1172,1),O1167:O1172,0)</f>
        <v>2</v>
      </c>
      <c r="P1194" s="8">
        <f ca="1">MATCH(LARGE(P1167:P1172,1),P1167:P1172,0)</f>
        <v>2</v>
      </c>
      <c r="Q1194" s="8">
        <f ca="1">MATCH(LARGE(Q1167:Q1172,1),Q1167:Q1172,0)</f>
        <v>1</v>
      </c>
      <c r="R1194" s="8">
        <f ca="1">MATCH(LARGE(R1167:R1172,1),R1167:R1172,0)</f>
        <v>2</v>
      </c>
    </row>
    <row r="1195" spans="4:22" ht="24" customHeight="1" x14ac:dyDescent="0.3">
      <c r="N1195" s="7" t="s">
        <v>314</v>
      </c>
      <c r="O1195" s="8" cm="1">
        <f t="array" ref="O1195:R1195">_xlfn.ANCHORARRAY(O1019)</f>
        <v>4</v>
      </c>
      <c r="P1195" s="8">
        <v>1</v>
      </c>
      <c r="Q1195" s="8">
        <v>5</v>
      </c>
      <c r="R1195" s="8">
        <v>2</v>
      </c>
      <c r="V1195" s="1" t="s">
        <v>317</v>
      </c>
    </row>
    <row r="1196" spans="4:22" ht="24" customHeight="1" x14ac:dyDescent="0.3">
      <c r="N1196" s="7" t="s">
        <v>315</v>
      </c>
      <c r="O1196" s="19" cm="1">
        <f t="array" aca="1" ref="O1196:R1196" ca="1">IF(O1194:R1194=_xlfn.ANCHORARRAY(O1195),1,0)</f>
        <v>0</v>
      </c>
      <c r="P1196" s="20">
        <f ca="1"/>
        <v>0</v>
      </c>
      <c r="Q1196" s="20">
        <f ca="1"/>
        <v>0</v>
      </c>
      <c r="R1196" s="21">
        <f ca="1"/>
        <v>1</v>
      </c>
      <c r="V1196" s="1" t="s">
        <v>318</v>
      </c>
    </row>
    <row r="1197" spans="4:22" ht="24" customHeight="1" x14ac:dyDescent="0.3">
      <c r="N1197" s="7" t="s">
        <v>316</v>
      </c>
      <c r="O1197" s="23">
        <f ca="1">AVERAGE(_xlfn.ANCHORARRAY(O1196))</f>
        <v>0.25</v>
      </c>
    </row>
    <row r="1200" spans="4:22" ht="24" customHeight="1" x14ac:dyDescent="0.3">
      <c r="D1200" s="3" t="s">
        <v>319</v>
      </c>
    </row>
    <row r="1202" spans="4:17" ht="24" customHeight="1" x14ac:dyDescent="0.3">
      <c r="D1202" s="7" t="s">
        <v>320</v>
      </c>
      <c r="N1202" s="7" t="str" cm="1">
        <f t="array" ref="N1202:N1207">"v"&amp;_xlfn.SEQUENCE(F1015,1,1,1)</f>
        <v>v1</v>
      </c>
      <c r="O1202" s="25" cm="1">
        <f t="array" aca="1" ref="O1202:O1207" ca="1">MMULT(TRANSPOSE(_xlfn.ANCHORARRAY(E1025)),MMULT(_xlfn.ANCHORARRAY(E1025),IF(_xlfn.SEQUENCE(F1015,1)=O1019,1,0)))</f>
        <v>-0.27323103131218457</v>
      </c>
      <c r="Q1202" s="1" t="s">
        <v>321</v>
      </c>
    </row>
    <row r="1203" spans="4:17" ht="24" customHeight="1" x14ac:dyDescent="0.3">
      <c r="N1203" s="7" t="str">
        <v>v2</v>
      </c>
      <c r="O1203" s="26">
        <f ca="1"/>
        <v>0.13501203560798231</v>
      </c>
      <c r="Q1203" s="1" t="s">
        <v>322</v>
      </c>
    </row>
    <row r="1204" spans="4:17" ht="24" customHeight="1" x14ac:dyDescent="0.3">
      <c r="N1204" s="7" t="str">
        <v>v3</v>
      </c>
      <c r="O1204" s="26">
        <f ca="1"/>
        <v>-0.82226881307628119</v>
      </c>
      <c r="Q1204" s="1" t="s">
        <v>323</v>
      </c>
    </row>
    <row r="1205" spans="4:17" ht="24" customHeight="1" x14ac:dyDescent="0.3">
      <c r="N1205" s="7" t="str">
        <v>v4</v>
      </c>
      <c r="O1205" s="26">
        <f ca="1"/>
        <v>1</v>
      </c>
      <c r="Q1205" s="1" t="s">
        <v>324</v>
      </c>
    </row>
    <row r="1206" spans="4:17" ht="24" customHeight="1" x14ac:dyDescent="0.3">
      <c r="N1206" s="7" t="str">
        <v>v5</v>
      </c>
      <c r="O1206" s="26">
        <f ca="1"/>
        <v>1.8227388049849302E-3</v>
      </c>
      <c r="Q1206" s="1" t="s">
        <v>325</v>
      </c>
    </row>
    <row r="1207" spans="4:17" ht="24" customHeight="1" x14ac:dyDescent="0.3">
      <c r="N1207" s="7" t="str">
        <v>v6</v>
      </c>
      <c r="O1207" s="27">
        <f ca="1"/>
        <v>0.35941157296350534</v>
      </c>
      <c r="Q1207" s="1" t="s">
        <v>326</v>
      </c>
    </row>
  </sheetData>
  <conditionalFormatting sqref="AP37:AU42">
    <cfRule type="dataBar" priority="1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{05968F17-F211-4EAC-9780-F8CEC2D8C4CB}</x14:id>
        </ext>
      </extLst>
    </cfRule>
  </conditionalFormatting>
  <conditionalFormatting sqref="BD76:BI81">
    <cfRule type="dataBar" priority="2">
      <dataBar>
        <cfvo type="num" val="0"/>
        <cfvo type="num" val="1"/>
        <color rgb="FFFF555A"/>
      </dataBar>
      <extLst>
        <ext xmlns:x14="http://schemas.microsoft.com/office/spreadsheetml/2009/9/main" uri="{B025F937-C7B1-47D3-B67F-A62EFF666E3E}">
          <x14:id>{95C8FC90-CE54-42F4-8815-1E947E32C8CB}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968F17-F211-4EAC-9780-F8CEC2D8C4C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AP37:AU42</xm:sqref>
        </x14:conditionalFormatting>
        <x14:conditionalFormatting xmlns:xm="http://schemas.microsoft.com/office/excel/2006/main">
          <x14:cfRule type="dataBar" id="{95C8FC90-CE54-42F4-8815-1E947E32C8CB}">
            <x14:dataBar minLength="0" maxLength="100" negativeBarColorSameAsPositive="1" axisPosition="none">
              <x14:cfvo type="num">
                <xm:f>0</xm:f>
              </x14:cfvo>
              <x14:cfvo type="num">
                <xm:f>1</xm:f>
              </x14:cfvo>
            </x14:dataBar>
          </x14:cfRule>
          <xm:sqref>BD76:BI81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deepseekv3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Azeez</dc:creator>
  <cp:lastModifiedBy>Syed Azeez</cp:lastModifiedBy>
  <dcterms:created xsi:type="dcterms:W3CDTF">2026-08-07T07:16:47Z</dcterms:created>
  <dcterms:modified xsi:type="dcterms:W3CDTF">2026-08-07T07:17:07Z</dcterms:modified>
</cp:coreProperties>
</file>